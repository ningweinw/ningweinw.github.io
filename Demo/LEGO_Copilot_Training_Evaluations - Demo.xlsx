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wening_microsoft_com/Documents/MS/ATT/Delivery/MS-4018-20261019/Lego/"/>
    </mc:Choice>
  </mc:AlternateContent>
  <xr:revisionPtr revIDLastSave="368" documentId="8_{F3B47365-7D62-4585-8F86-F5B87EBDCB7F}" xr6:coauthVersionLast="47" xr6:coauthVersionMax="47" xr10:uidLastSave="{ED0556B7-0D23-4C92-A2A2-D658279F4FFB}"/>
  <bookViews>
    <workbookView xWindow="-120" yWindow="-120" windowWidth="29040" windowHeight="15720" xr2:uid="{A252E1BC-FC76-4CB9-8FF0-6DB4BE7C3B7F}"/>
  </bookViews>
  <sheets>
    <sheet name="LEGO_Copilot_Training_Evaluatio" sheetId="1" r:id="rId1"/>
    <sheet name="LEGO_Copilot_Training_Formatted" sheetId="4" r:id="rId2"/>
    <sheet name="Data Quality Report" sheetId="2" r:id="rId3"/>
    <sheet name="Training Dashboard" sheetId="9" r:id="rId4"/>
    <sheet name="Chart Data" sheetId="10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0" l="1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B20" i="10"/>
  <c r="B19" i="10"/>
  <c r="B18" i="10"/>
  <c r="B17" i="10"/>
  <c r="B16" i="10"/>
  <c r="B11" i="10"/>
  <c r="B10" i="10"/>
  <c r="B9" i="10"/>
  <c r="D4" i="10"/>
  <c r="C4" i="10"/>
  <c r="B4" i="10"/>
  <c r="D3" i="10"/>
  <c r="C3" i="10"/>
  <c r="B3" i="10"/>
  <c r="D2" i="10"/>
  <c r="C2" i="10"/>
  <c r="B2" i="10"/>
  <c r="P11" i="9"/>
  <c r="K11" i="9"/>
  <c r="F11" i="9"/>
  <c r="A11" i="9"/>
  <c r="P6" i="9"/>
  <c r="K6" i="9"/>
  <c r="F6" i="9"/>
  <c r="A6" i="9"/>
</calcChain>
</file>

<file path=xl/sharedStrings.xml><?xml version="1.0" encoding="utf-8"?>
<sst xmlns="http://schemas.openxmlformats.org/spreadsheetml/2006/main" count="6180" uniqueCount="566">
  <si>
    <t>ResponseID</t>
  </si>
  <si>
    <t>SessionID</t>
  </si>
  <si>
    <t>SessionTitle</t>
  </si>
  <si>
    <t>SessionDate</t>
  </si>
  <si>
    <t>Region</t>
  </si>
  <si>
    <t>TimeZone</t>
  </si>
  <si>
    <t>Location</t>
  </si>
  <si>
    <t>Trainer</t>
  </si>
  <si>
    <t>DeliveryFormat</t>
  </si>
  <si>
    <t>Department</t>
  </si>
  <si>
    <t>RoleLevel</t>
  </si>
  <si>
    <t>PriorCopilotUse</t>
  </si>
  <si>
    <t>AttendedFullSession</t>
  </si>
  <si>
    <t>OverallSatisfaction_1to5</t>
  </si>
  <si>
    <t>ContentRelevance_1to5</t>
  </si>
  <si>
    <t>TrainerKnowledge_1to5</t>
  </si>
  <si>
    <t>MaterialsQuality_1to5</t>
  </si>
  <si>
    <t>Pace</t>
  </si>
  <si>
    <t>LikelyToUseCopilot_1to5</t>
  </si>
  <si>
    <t>NPS_0to10</t>
  </si>
  <si>
    <t>WouldJoinNextSession</t>
  </si>
  <si>
    <t>Comments</t>
  </si>
  <si>
    <t>SubmittedAt</t>
  </si>
  <si>
    <t>DataLabel</t>
  </si>
  <si>
    <t>R0001</t>
  </si>
  <si>
    <t>LEGO-CP-001</t>
  </si>
  <si>
    <t>M365 Copilot Foundation</t>
  </si>
  <si>
    <t>EMEA</t>
  </si>
  <si>
    <t>CET</t>
  </si>
  <si>
    <t>London</t>
  </si>
  <si>
    <t>Astrid Lindqvist</t>
  </si>
  <si>
    <t>Teams (live online)</t>
  </si>
  <si>
    <t>Operations</t>
  </si>
  <si>
    <t>Manager</t>
  </si>
  <si>
    <t>Weekly</t>
  </si>
  <si>
    <t>No</t>
  </si>
  <si>
    <t>Too fast</t>
  </si>
  <si>
    <t>Maybe</t>
  </si>
  <si>
    <t>Creating a deck from the LEGO template was a nice tip</t>
  </si>
  <si>
    <t>DEMO DATA - fictitious</t>
  </si>
  <si>
    <t>R0002</t>
  </si>
  <si>
    <t>Nyiregyhaza</t>
  </si>
  <si>
    <t>HR</t>
  </si>
  <si>
    <t>Senior Manager</t>
  </si>
  <si>
    <t>Never</t>
  </si>
  <si>
    <t>Yes</t>
  </si>
  <si>
    <t>Too slow</t>
  </si>
  <si>
    <t>Wanted more hands-on time</t>
  </si>
  <si>
    <t>R0003</t>
  </si>
  <si>
    <t>Kladno</t>
  </si>
  <si>
    <t>Product Development</t>
  </si>
  <si>
    <t>Just right</t>
  </si>
  <si>
    <t>Good pace and friendly trainer</t>
  </si>
  <si>
    <t>R0004</t>
  </si>
  <si>
    <t>Billund</t>
  </si>
  <si>
    <t>Specialist</t>
  </si>
  <si>
    <t>Audio issues at the start</t>
  </si>
  <si>
    <t>R0005</t>
  </si>
  <si>
    <t>Rarely</t>
  </si>
  <si>
    <t>Loved the temporary chat demo</t>
  </si>
  <si>
    <t>R0006</t>
  </si>
  <si>
    <t>Supply Chain</t>
  </si>
  <si>
    <t>Notebooks vs OneNote difference was helpful</t>
  </si>
  <si>
    <t>R0007</t>
  </si>
  <si>
    <t>Sales</t>
  </si>
  <si>
    <t>Team Lead</t>
  </si>
  <si>
    <t>R0008</t>
  </si>
  <si>
    <t>Monthly</t>
  </si>
  <si>
    <t>R0009</t>
  </si>
  <si>
    <t>Bit long, could be 45 min</t>
  </si>
  <si>
    <t>R0010</t>
  </si>
  <si>
    <t>Consumer Services</t>
  </si>
  <si>
    <t>Daily</t>
  </si>
  <si>
    <t>R0011</t>
  </si>
  <si>
    <t>Good everyday examples in Excel</t>
  </si>
  <si>
    <t>R0012</t>
  </si>
  <si>
    <t>LEGO-CP-002</t>
  </si>
  <si>
    <t>AMER</t>
  </si>
  <si>
    <t>EST</t>
  </si>
  <si>
    <t>Boston</t>
  </si>
  <si>
    <t>Mikkel Sørensen</t>
  </si>
  <si>
    <t xml:space="preserve">Marketing </t>
  </si>
  <si>
    <t>R0013</t>
  </si>
  <si>
    <t>Monterrey</t>
  </si>
  <si>
    <t>R0014</t>
  </si>
  <si>
    <t>Enfield</t>
  </si>
  <si>
    <t>Marketing</t>
  </si>
  <si>
    <t>R0015</t>
  </si>
  <si>
    <t>R0016</t>
  </si>
  <si>
    <t>R0017</t>
  </si>
  <si>
    <t>R0018</t>
  </si>
  <si>
    <t>Clear explanation of the green/yellow/red data levels</t>
  </si>
  <si>
    <t>R0019</t>
  </si>
  <si>
    <t>R0020</t>
  </si>
  <si>
    <t>IT</t>
  </si>
  <si>
    <t>Very inspiring, I will try the prompts tomorrow</t>
  </si>
  <si>
    <t>R0021</t>
  </si>
  <si>
    <t>R0022</t>
  </si>
  <si>
    <t>Legal</t>
  </si>
  <si>
    <t>R0023</t>
  </si>
  <si>
    <t>R0024</t>
  </si>
  <si>
    <t>LEGO-CP-003</t>
  </si>
  <si>
    <t>APAC</t>
  </si>
  <si>
    <t>CST</t>
  </si>
  <si>
    <t>Singapore</t>
  </si>
  <si>
    <t>Sigrid Halvorsen</t>
  </si>
  <si>
    <t>R0025</t>
  </si>
  <si>
    <t>finance</t>
  </si>
  <si>
    <t>Would like more examples for Supply Chain</t>
  </si>
  <si>
    <t>R0026</t>
  </si>
  <si>
    <t>Shanghai</t>
  </si>
  <si>
    <t>R0027</t>
  </si>
  <si>
    <t>Jiaxing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</si>
  <si>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</si>
  <si>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</si>
  <si>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</si>
  <si>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</si>
  <si>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</si>
  <si>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</si>
  <si>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</si>
  <si>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</si>
  <si>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The prompt examples for my area were really useful</t>
  </si>
  <si>
    <t>R0036</t>
  </si>
  <si>
    <t>LEGO-CP-004</t>
  </si>
  <si>
    <t>Copilot in Excel</t>
  </si>
  <si>
    <t>Summarising meeting recaps will save me time</t>
  </si>
  <si>
    <t>R0037</t>
  </si>
  <si>
    <t>R0038</t>
  </si>
  <si>
    <t xml:space="preserve">HR </t>
  </si>
  <si>
    <t>R0039</t>
  </si>
  <si>
    <t>Please share the slides and transcript</t>
  </si>
  <si>
    <t>R0040</t>
  </si>
  <si>
    <t>Copenhagen</t>
  </si>
  <si>
    <t>R0041</t>
  </si>
  <si>
    <t>Too basic for me</t>
  </si>
  <si>
    <t>R0042</t>
  </si>
  <si>
    <t>R0043</t>
  </si>
  <si>
    <t>R0044</t>
  </si>
  <si>
    <t>Individual Contributor</t>
  </si>
  <si>
    <t>R0045</t>
  </si>
  <si>
    <t>R0046</t>
  </si>
  <si>
    <t>R0047</t>
  </si>
  <si>
    <t>R0048</t>
  </si>
  <si>
    <t>R0049</t>
  </si>
  <si>
    <t>R0050</t>
  </si>
  <si>
    <t>R0051</t>
  </si>
  <si>
    <t>LEGO-CP-005</t>
  </si>
  <si>
    <t>Great intro - finally understand what Copilot Chat is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</si>
  <si>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</si>
  <si>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</si>
  <si>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</si>
  <si>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</si>
  <si>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</si>
  <si>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</si>
  <si>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</si>
  <si>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</si>
  <si>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</si>
  <si>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</si>
  <si>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</si>
  <si>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LEGO-CP-006</t>
  </si>
  <si>
    <t>R0063</t>
  </si>
  <si>
    <t>R0064</t>
  </si>
  <si>
    <t>R0065</t>
  </si>
  <si>
    <t>Finance</t>
  </si>
  <si>
    <t>R0066</t>
  </si>
  <si>
    <t>R0067</t>
  </si>
  <si>
    <t>R0068</t>
  </si>
  <si>
    <t>OK session, some parts I already knew</t>
  </si>
  <si>
    <t>R0069</t>
  </si>
  <si>
    <t>R0070</t>
  </si>
  <si>
    <t>R0071</t>
  </si>
  <si>
    <t>LEGO-CP-007</t>
  </si>
  <si>
    <t>Copilot in Word &amp; PowerPoint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</si>
  <si>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</si>
  <si>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</si>
  <si>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</si>
  <si>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</si>
  <si>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</si>
  <si>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</si>
  <si>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</si>
  <si>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</si>
  <si>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</si>
  <si>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</si>
  <si>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</si>
  <si>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</si>
  <si>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</si>
  <si>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LEGO-CP-008</t>
  </si>
  <si>
    <t>R0085</t>
  </si>
  <si>
    <t>R0086</t>
  </si>
  <si>
    <t>Went too fast in the Excel part</t>
  </si>
  <si>
    <t>R0087</t>
  </si>
  <si>
    <t>Not enough time for Q&amp;A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</si>
  <si>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</si>
  <si>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</si>
  <si>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</si>
  <si>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</si>
  <si>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</si>
  <si>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</si>
  <si>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</si>
  <si>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</si>
  <si>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</si>
  <si>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LEGO-CP-009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</si>
  <si>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</si>
  <si>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</si>
  <si>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</si>
  <si>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</si>
  <si>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</si>
  <si>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</si>
  <si>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</si>
  <si>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</si>
  <si>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</si>
  <si>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LEGO-CP-010</t>
  </si>
  <si>
    <t>Copilot in Teams &amp; Outlook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</si>
  <si>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</si>
  <si>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</si>
  <si>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</si>
  <si>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</si>
  <si>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</si>
  <si>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</si>
  <si>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</si>
  <si>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</si>
  <si>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</si>
  <si>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</si>
  <si>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</si>
  <si>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</si>
  <si>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</si>
  <si>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</si>
  <si>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LEGO-CP-011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</si>
  <si>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</si>
  <si>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</si>
  <si>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</si>
  <si>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</si>
  <si>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</si>
  <si>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</si>
  <si>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</si>
  <si>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</si>
  <si>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</si>
  <si>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</si>
  <si>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</si>
  <si>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LEGO-CP-012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</si>
  <si>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</si>
  <si>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</si>
  <si>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</si>
  <si>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</si>
  <si>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</si>
  <si>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</si>
  <si>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</si>
  <si>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</si>
  <si>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</si>
  <si>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</si>
  <si>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</si>
  <si>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</si>
  <si>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</si>
  <si>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</si>
  <si>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LEGO-CP-013</t>
  </si>
  <si>
    <t>Copilot in OneNote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</si>
  <si>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</si>
  <si>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</si>
  <si>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</si>
  <si>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</si>
  <si>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</si>
  <si>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</si>
  <si>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</si>
  <si>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</si>
  <si>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</si>
  <si>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</si>
  <si>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</si>
  <si>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LEGO-CP-014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</si>
  <si>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</si>
  <si>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</si>
  <si>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</si>
  <si>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</si>
  <si>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</si>
  <si>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</si>
  <si>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</si>
  <si>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</si>
  <si>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</si>
  <si>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</si>
  <si>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</si>
  <si>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</si>
  <si>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</si>
  <si>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</si>
  <si>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LEGO-CP-015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</si>
  <si>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</si>
  <si>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</si>
  <si>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</si>
  <si>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</si>
  <si>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</si>
  <si>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</si>
  <si>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</si>
  <si>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</si>
  <si>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</si>
  <si>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</si>
  <si>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</si>
  <si>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</si>
  <si>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DATA QUALITY REVIEW — TRAINING EVALUATION</t>
  </si>
  <si>
    <t>Source preserved | Review cutoff: 17 Oct 2026 10:00 SGT | Dataset label: DEMO DATA - fictitious</t>
  </si>
  <si>
    <t>REVIEW SCOPE</t>
  </si>
  <si>
    <t>Source range</t>
  </si>
  <si>
    <t>LEGO_Copilot_Training_Evaluatio!A1:X182</t>
  </si>
  <si>
    <t>Population</t>
  </si>
  <si>
    <t>Columns</t>
  </si>
  <si>
    <t>Sessions</t>
  </si>
  <si>
    <t>Response IDs</t>
  </si>
  <si>
    <t>R0001 to R0181</t>
  </si>
  <si>
    <t>Session titles</t>
  </si>
  <si>
    <t>Locations</t>
  </si>
  <si>
    <t>Departments (raw)</t>
  </si>
  <si>
    <t>Review objective</t>
  </si>
  <si>
    <t>Identify quality risks and prescribe cleansing; do not alter source</t>
  </si>
  <si>
    <t>EXECUTIVE QUALITY SUMMARY</t>
  </si>
  <si>
    <t>Metric</t>
  </si>
  <si>
    <t>Result</t>
  </si>
  <si>
    <t>Interpretation</t>
  </si>
  <si>
    <t>Rows reviewed</t>
  </si>
  <si>
    <t>Full source coverage</t>
  </si>
  <si>
    <t>Score completeness</t>
  </si>
  <si>
    <t>Across six numeric survey metrics</t>
  </si>
  <si>
    <t>Duplicate ResponseIDs</t>
  </si>
  <si>
    <t>Missing scored cells</t>
  </si>
  <si>
    <t>Across four satisfaction-quality fields</t>
  </si>
  <si>
    <t>Department variants</t>
  </si>
  <si>
    <t>Rows using non-canonical labels</t>
  </si>
  <si>
    <t>Future SubmittedAt</t>
  </si>
  <si>
    <t>Invalid score values</t>
  </si>
  <si>
    <t>All populated scores in range</t>
  </si>
  <si>
    <t>Inconsistent sessions</t>
  </si>
  <si>
    <t>Title/date/region/time zone/trainer/format</t>
  </si>
  <si>
    <t>Future SessionDate</t>
  </si>
  <si>
    <t>KEY FINDINGS AND ISSUE REGISTER</t>
  </si>
  <si>
    <t>Priority</t>
  </si>
  <si>
    <t>Dimension</t>
  </si>
  <si>
    <t>Field(s)</t>
  </si>
  <si>
    <t>Finding</t>
  </si>
  <si>
    <t>Affected</t>
  </si>
  <si>
    <t>Risk / interpretation</t>
  </si>
  <si>
    <t>Cleansing direction</t>
  </si>
  <si>
    <t>Acceptance test</t>
  </si>
  <si>
    <t>High</t>
  </si>
  <si>
    <t>Completeness</t>
  </si>
  <si>
    <t>OverallSatisfaction_1to5, ContentRelevance_1to5, TrainerKnowledge_1to5, MaterialsQuality_1to5</t>
  </si>
  <si>
    <t>18 required scored cells are blank across 18 responses; examples: R0022, R0048, R0069, R0076, R0079, R0080, R0087, R0089</t>
  </si>
  <si>
    <t>Metric denominators differ and comparisons can be biased</t>
  </si>
  <si>
    <t>Keep as null; do not impute subjective ratings; publish denominator for each KPI and investigate collection</t>
  </si>
  <si>
    <t>Each metric reports nonblank N; no blank becomes zero</t>
  </si>
  <si>
    <t>Temporal validity</t>
  </si>
  <si>
    <t>79 stored timestamps are later than the cutoff; examples: R0096, R0102, R0105, R0106, R0107</t>
  </si>
  <si>
    <t>Could be preloaded demo records or timezone ambiguity; invalid for production as-of reporting until confirmed</t>
  </si>
  <si>
    <t>Confirm scenario and timezone; quarantine future records from as-of reporting or revise the cutoff</t>
  </si>
  <si>
    <t>No included production record is after the approved cutoff</t>
  </si>
  <si>
    <t>Medium</t>
  </si>
  <si>
    <t>77 responses relate to future-dated sessions; examples: R0105, R0106, R0107, R0108, R0109</t>
  </si>
  <si>
    <t>Expected for fictitious data but incompatible with completed-session reporting at the cutoff</t>
  </si>
  <si>
    <t>Use SessionDate &lt;= approved reporting date for the completed population; retain planned sessions separately</t>
  </si>
  <si>
    <t>Completed population contains no future SessionDate</t>
  </si>
  <si>
    <t>Consistency</t>
  </si>
  <si>
    <t>39 rows use case or trailing-space variants; 13 raw labels collapse to 10 normalized departments</t>
  </si>
  <si>
    <t>Splits grouped analysis and filters</t>
  </si>
  <si>
    <t>Apply TRIM, then map case-insensitively to an approved department dictionary</t>
  </si>
  <si>
    <t>Only approved canonical department labels remain</t>
  </si>
  <si>
    <t>Low</t>
  </si>
  <si>
    <t>Optional completeness</t>
  </si>
  <si>
    <t>36 responses have no comment</t>
  </si>
  <si>
    <t>Acceptable if free text is optional; not scored nonresponse</t>
  </si>
  <si>
    <t>Retain blank as null and document Comments as optional</t>
  </si>
  <si>
    <t>Blank comments are excluded from text-theme denominators</t>
  </si>
  <si>
    <t>Timestamp uniqueness</t>
  </si>
  <si>
    <t>3 timestamp collisions exist at stored precision</t>
  </si>
  <si>
    <t>Not a duplicate because ResponseID is unique</t>
  </si>
  <si>
    <t>Retain records; use ResponseID as key and inspect only if higher precision is expected</t>
  </si>
  <si>
    <t>No row removed solely for timestamp collision</t>
  </si>
  <si>
    <t>Passed</t>
  </si>
  <si>
    <t>Uniqueness</t>
  </si>
  <si>
    <t>ResponseID / full row</t>
  </si>
  <si>
    <t>No duplicate ResponseID and no duplicate full row</t>
  </si>
  <si>
    <t>No duplicate-removal action required</t>
  </si>
  <si>
    <t>Preserve all 181 records</t>
  </si>
  <si>
    <t>181 unique ResponseIDs and full rows</t>
  </si>
  <si>
    <t>Validity</t>
  </si>
  <si>
    <t>Scores / categories</t>
  </si>
  <si>
    <t>All populated scores are in range and all controlled categories are allowed</t>
  </si>
  <si>
    <t>No invalid populated response detected</t>
  </si>
  <si>
    <t>Add preventive validation without rewriting valid values</t>
  </si>
  <si>
    <t>New entries outside allowed domains are rejected</t>
  </si>
  <si>
    <t>Relational consistency</t>
  </si>
  <si>
    <t>SessionID metadata</t>
  </si>
  <si>
    <t>All 15 sessions are internally consistent across title, date, region, timezone, trainer, and format</t>
  </si>
  <si>
    <t>Session attributes are reliable for grouping</t>
  </si>
  <si>
    <t>Preserve values and validate new rows against a session master</t>
  </si>
  <si>
    <t>One value per SessionID and session attribute</t>
  </si>
  <si>
    <t>CANONICAL DEPARTMENT MAPPING</t>
  </si>
  <si>
    <t>Raw value</t>
  </si>
  <si>
    <t>Canonical value</t>
  </si>
  <si>
    <t>Affected rows</t>
  </si>
  <si>
    <t>Issue</t>
  </si>
  <si>
    <t>Transformation</t>
  </si>
  <si>
    <t>Validation</t>
  </si>
  <si>
    <t>Trailing space</t>
  </si>
  <si>
    <t>TRIM then case-insensitive dictionary match</t>
  </si>
  <si>
    <t>Raw value no longer present</t>
  </si>
  <si>
    <t>Inconsistent case</t>
  </si>
  <si>
    <t>FIELD-LEVEL PROFILE</t>
  </si>
  <si>
    <t>Field</t>
  </si>
  <si>
    <t>Nonblank</t>
  </si>
  <si>
    <t>Missing</t>
  </si>
  <si>
    <t>Missing %</t>
  </si>
  <si>
    <t>Distinct</t>
  </si>
  <si>
    <t>Expected domain / type</t>
  </si>
  <si>
    <t>Recommended treatment</t>
  </si>
  <si>
    <t>Key; R####</t>
  </si>
  <si>
    <t>0 duplicates; 0 pattern failures</t>
  </si>
  <si>
    <t>Enforce unique required key and R#### pattern</t>
  </si>
  <si>
    <t>Key; LEGO-CP-###</t>
  </si>
  <si>
    <t>0 pattern failures; 0 inconsistent sessions</t>
  </si>
  <si>
    <t>Validate against session master and LEGO-CP-### pattern</t>
  </si>
  <si>
    <t>Controlled title</t>
  </si>
  <si>
    <t>No issue detected in current values</t>
  </si>
  <si>
    <t>Validate against controlled list or session master</t>
  </si>
  <si>
    <t>Date</t>
  </si>
  <si>
    <t>77 future-dated rows at cutoff</t>
  </si>
  <si>
    <t>Validate parse, sequence, cutoff, and timezone policy</t>
  </si>
  <si>
    <t>EMEA / AMER / APAC</t>
  </si>
  <si>
    <t>0 invalid category values</t>
  </si>
  <si>
    <t>CET / EST / CST</t>
  </si>
  <si>
    <t>Controlled location</t>
  </si>
  <si>
    <t>Controlled trainer</t>
  </si>
  <si>
    <t>Controlled format</t>
  </si>
  <si>
    <t>Department dictionary</t>
  </si>
  <si>
    <t>13 raw / 10 normalized values</t>
  </si>
  <si>
    <t>Standardize with TRIM + canonical dictionary</t>
  </si>
  <si>
    <t>Controlled role level</t>
  </si>
  <si>
    <t>Never to Daily</t>
  </si>
  <si>
    <t>Yes / No</t>
  </si>
  <si>
    <t>Integer 1–5</t>
  </si>
  <si>
    <t>3 blank scored responses</t>
  </si>
  <si>
    <t>Keep null; report nonblank denominator; investigate collection</t>
  </si>
  <si>
    <t>5 blank scored responses</t>
  </si>
  <si>
    <t>6 blank scored responses</t>
  </si>
  <si>
    <t>4 blank scored responses</t>
  </si>
  <si>
    <t>Too fast / Too slow / Just right</t>
  </si>
  <si>
    <t>0 invalid populated values</t>
  </si>
  <si>
    <t>Enforce integer range and requiredness policy</t>
  </si>
  <si>
    <t>Integer 0–10</t>
  </si>
  <si>
    <t>Yes / No / Maybe</t>
  </si>
  <si>
    <t>Optional text</t>
  </si>
  <si>
    <t>36 blanks; optional</t>
  </si>
  <si>
    <t>Allow null; exclude blanks from text-analysis base</t>
  </si>
  <si>
    <t>Date-time</t>
  </si>
  <si>
    <t>79 future-dated; 3 timestamp collisions</t>
  </si>
  <si>
    <t>Dataset classification</t>
  </si>
  <si>
    <t>PRIORITIZED CLEANSING AND CONTROL PLAN</t>
  </si>
  <si>
    <t>Order</t>
  </si>
  <si>
    <t>Action</t>
  </si>
  <si>
    <t>Rule / decision</t>
  </si>
  <si>
    <t>Scope</t>
  </si>
  <si>
    <t>Suggested owner</t>
  </si>
  <si>
    <t>Acceptance criterion</t>
  </si>
  <si>
    <t>Status</t>
  </si>
  <si>
    <t>Confirm temporal scenario and cutoff</t>
  </si>
  <si>
    <t>Because the data is fictitious and timestamps lack offsets, decide whether future records are intentional before exclusion</t>
  </si>
  <si>
    <t>SessionDate; SubmittedAt</t>
  </si>
  <si>
    <t>Training data owner</t>
  </si>
  <si>
    <t>Approved cutoff and timezone policy documented; eligible population reproducible</t>
  </si>
  <si>
    <t>Open</t>
  </si>
  <si>
    <t>Protect metric denominators</t>
  </si>
  <si>
    <t>Do not impute or convert blank subjective ratings to zero; calculate each KPI from valid nonblank responses</t>
  </si>
  <si>
    <t>Four rating fields with 18 blanks</t>
  </si>
  <si>
    <t>Reporting analyst</t>
  </si>
  <si>
    <t>Every reported average displays valid N and reconciles to source</t>
  </si>
  <si>
    <t>Canonicalize Department</t>
  </si>
  <si>
    <t>Apply TRIM and case-insensitive mapping: HR→HR, Marketing→Marketing, finance→Finance</t>
  </si>
  <si>
    <t>Department rows listed above</t>
  </si>
  <si>
    <t>Data steward</t>
  </si>
  <si>
    <t>10 canonical departments; no whitespace or case variants</t>
  </si>
  <si>
    <t>Add preventive validations</t>
  </si>
  <si>
    <t>Enforce score ranges, categories, ID patterns, required keys, and session-master lookups</t>
  </si>
  <si>
    <t>Future records</t>
  </si>
  <si>
    <t>Workbook owner</t>
  </si>
  <si>
    <t>Invalid test entries are rejected or flagged</t>
  </si>
  <si>
    <t>Separate as-of and planned populations</t>
  </si>
  <si>
    <t>Exclude beyond-cutoff records from completed-session reporting without deleting them</t>
  </si>
  <si>
    <t>Future SessionDate / SubmittedAt</t>
  </si>
  <si>
    <t>No included as-of record is beyond cutoff; exclusions disclosed</t>
  </si>
  <si>
    <t>Formalize optional fields</t>
  </si>
  <si>
    <t>Document Comments as optional and keep missing comments as null</t>
  </si>
  <si>
    <t>Survey owner</t>
  </si>
  <si>
    <t>Blank comments do not reduce scored completeness</t>
  </si>
  <si>
    <t>Monitor on refresh</t>
  </si>
  <si>
    <t>Repeat row count, uniqueness, missingness, domain, session consistency, and date checks after each load</t>
  </si>
  <si>
    <t>Entire source</t>
  </si>
  <si>
    <t>Refresh log records exceptions and resolution owner</t>
  </si>
  <si>
    <t>AUDIT CHECK RESULTS</t>
  </si>
  <si>
    <t>Check</t>
  </si>
  <si>
    <t>Count</t>
  </si>
  <si>
    <t>Coverage</t>
  </si>
  <si>
    <t>Rows scanned</t>
  </si>
  <si>
    <t>PASS</t>
  </si>
  <si>
    <t>All source rows included</t>
  </si>
  <si>
    <t>ResponseID uniqueness</t>
  </si>
  <si>
    <t>181 rows</t>
  </si>
  <si>
    <t>ResponseID is a unique record key</t>
  </si>
  <si>
    <t>Full-row duplicates</t>
  </si>
  <si>
    <t>No row should be deleted as an exact duplicate</t>
  </si>
  <si>
    <t>Score ranges</t>
  </si>
  <si>
    <t>Six numeric metrics</t>
  </si>
  <si>
    <t>Populated scores conform to declared scales</t>
  </si>
  <si>
    <t>Controlled categories</t>
  </si>
  <si>
    <t>Six controlled fields</t>
  </si>
  <si>
    <t>Current categorical values are valid</t>
  </si>
  <si>
    <t>Date parseability</t>
  </si>
  <si>
    <t>SessionDate and SubmittedAt</t>
  </si>
  <si>
    <t>All stored dates parse successfully</t>
  </si>
  <si>
    <t>Submission sequence</t>
  </si>
  <si>
    <t>No submission precedes its session date</t>
  </si>
  <si>
    <t>Session metadata</t>
  </si>
  <si>
    <t>15 SessionIDs</t>
  </si>
  <si>
    <t>Session attributes are internally consistent</t>
  </si>
  <si>
    <t>All rows labeled: DEMO DATA - fictitious</t>
  </si>
  <si>
    <t>FORMAT AND STORAGE REVIEW</t>
  </si>
  <si>
    <t>Area</t>
  </si>
  <si>
    <t>Text hygiene</t>
  </si>
  <si>
    <t>Department contains trailing-space/case variants</t>
  </si>
  <si>
    <t>Visually similar labels split filters and summaries</t>
  </si>
  <si>
    <t>TRIM and map case-insensitively to canonical labels</t>
  </si>
  <si>
    <t>Date display</t>
  </si>
  <si>
    <t>SessionDate formats: m/d/yyyy</t>
  </si>
  <si>
    <t>No mixed cell format detected in the source date column</t>
  </si>
  <si>
    <t>Retain a consistent date display format</t>
  </si>
  <si>
    <t>Timestamp display</t>
  </si>
  <si>
    <t>SubmittedAt formats: m/d/yyyy h:mm</t>
  </si>
  <si>
    <t>No mixed cell format detected in the source timestamp column</t>
  </si>
  <si>
    <t>Retain a consistent date-time display format</t>
  </si>
  <si>
    <t>Numeric display</t>
  </si>
  <si>
    <t>Six score columns use consistent numeric formats</t>
  </si>
  <si>
    <t>No display inconsistency detected</t>
  </si>
  <si>
    <t>Retain numeric storage and consistent display</t>
  </si>
  <si>
    <t>Header usability</t>
  </si>
  <si>
    <t>Machine-friendly headers use underscores and scale suffixes</t>
  </si>
  <si>
    <t>Readable but less presentation-friendly</t>
  </si>
  <si>
    <t>Keep source headers for stability; use friendly labels in reports</t>
  </si>
  <si>
    <t>Advisory</t>
  </si>
  <si>
    <t>RESPONSES</t>
  </si>
  <si>
    <t>NET PROMOTER SCORE</t>
  </si>
  <si>
    <t>COPILOT TRAINING INSIGHTS</t>
  </si>
  <si>
    <t>Executive dashboard | 181 responses | 15 sessions | DEMO DATA — fictitious</t>
  </si>
  <si>
    <t>AVG SATISFACTION</t>
  </si>
  <si>
    <t>CONTENT RELEVANCE</t>
  </si>
  <si>
    <t>TRAINER KNOWLEDGE</t>
  </si>
  <si>
    <t>LIKELY TO USE</t>
  </si>
  <si>
    <t>PACE: JUST RIGHT</t>
  </si>
  <si>
    <t>WOULD JOIN AGAIN</t>
  </si>
  <si>
    <t>REGIONAL EXPERIENCE</t>
  </si>
  <si>
    <t>PACE DISTRIBUTION</t>
  </si>
  <si>
    <t>SATISFACTION BY TOPIC</t>
  </si>
  <si>
    <t>SATISFACTION TREND</t>
  </si>
  <si>
    <t>Avg Satisfaction</t>
  </si>
  <si>
    <t>Avg Likely to Use</t>
  </si>
  <si>
    <t>Responses</t>
  </si>
  <si>
    <t>Session Topic</t>
  </si>
  <si>
    <t>Session Date</t>
  </si>
  <si>
    <t>WHAT THE DATA SAYS</t>
  </si>
  <si>
    <t>1  Strongest topic: Copilot in Word &amp; PowerPoint leads satisfaction at 4.12/5; the lowest is Copilot in Excel at 3.63/5.</t>
  </si>
  <si>
    <t>2  Regional spread is modest: AMER is highest at 3.92/5 versus APAC at 3.86/5.</t>
  </si>
  <si>
    <t>3  Adoption signal: 62% would join another session; overall NPS is 4%.</t>
  </si>
  <si>
    <t>4  Delivery focus: 19% said “Too fast” and 14% said “Too slow”; protect hands-on time and pace checks.</t>
  </si>
  <si>
    <t>Scope: all responses in TrainingResponses. Averages exclude blank ratings; NPS = promoters (9–10) minus detractors (0–6). Source is marked DEMO DATA — fictitious.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</si>
</sst>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FFFFFF"/>
      <name val="Aptos"/>
    </font>
    <font>
      <i/>
      <sz val="10"/>
      <color rgb="FF17365D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0"/>
      <color rgb="FF17365D"/>
      <name val="Aptos"/>
    </font>
    <font>
      <b/>
      <sz val="10"/>
      <color theme="1"/>
      <name val="Aptos"/>
    </font>
    <font>
      <b/>
      <sz val="10"/>
      <color rgb="FF9C0006"/>
      <name val="Aptos"/>
    </font>
    <font>
      <b/>
      <sz val="10"/>
      <color rgb="FF9C5700"/>
      <name val="Aptos"/>
    </font>
    <font>
      <b/>
      <sz val="10"/>
      <color rgb="FF7F6000"/>
      <name val="Aptos"/>
    </font>
    <font>
      <b/>
      <sz val="10"/>
      <color rgb="FF274E13"/>
      <name val="Aptos"/>
    </font>
    <font>
      <b/>
      <sz val="11"/>
      <color rgb="FFFFFFFF"/>
      <name val="Aptos Narrow"/>
      <family val="2"/>
      <scheme val="minor"/>
    </font>
    <font>
      <sz val="11"/>
      <color theme="1"/>
      <name val="Aptos"/>
    </font>
    <font>
      <b/>
      <sz val="24"/>
      <color rgb="FFFFFFFF"/>
      <name val="Aptos Narrow"/>
      <family val="2"/>
      <scheme val="minor"/>
    </font>
    <font>
      <i/>
      <sz val="11"/>
      <color rgb="FF52606D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1"/>
      <color rgb="FF0B1F3A"/>
      <name val="Aptos Narrow"/>
      <family val="2"/>
      <scheme val="minor"/>
    </font>
    <font>
      <b/>
      <sz val="22"/>
      <color rgb="FF0B1F3A"/>
      <name val="Aptos Narrow"/>
      <family val="2"/>
      <scheme val="minor"/>
    </font>
    <font>
      <sz val="11"/>
      <color rgb="FF243B53"/>
      <name val="Aptos Narrow"/>
      <family val="2"/>
      <scheme val="minor"/>
    </font>
    <font>
      <i/>
      <sz val="11"/>
      <color rgb="FF7B8794"/>
      <name val="Aptos Narrow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D72638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2185B"/>
        <bgColor indexed="64"/>
      </patternFill>
    </fill>
    <fill>
      <patternFill patternType="solid">
        <fgColor rgb="FFDCE4EE"/>
        <bgColor indexed="64"/>
      </patternFill>
    </fill>
    <fill>
      <patternFill patternType="solid">
        <fgColor rgb="FFEDF2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0" fillId="35" borderId="0" xfId="0" applyFont="1" applyFill="1" applyAlignment="1">
      <alignment vertical="top"/>
    </xf>
    <xf numFmtId="0" fontId="22" fillId="37" borderId="10" xfId="0" applyFont="1" applyFill="1" applyBorder="1" applyAlignment="1">
      <alignment vertical="top" wrapText="1"/>
    </xf>
    <xf numFmtId="0" fontId="20" fillId="38" borderId="10" xfId="0" applyFont="1" applyFill="1" applyBorder="1" applyAlignment="1">
      <alignment vertical="top"/>
    </xf>
    <xf numFmtId="0" fontId="23" fillId="38" borderId="10" xfId="0" applyFont="1" applyFill="1" applyBorder="1" applyAlignment="1">
      <alignment vertical="top"/>
    </xf>
    <xf numFmtId="164" fontId="23" fillId="38" borderId="10" xfId="0" applyNumberFormat="1" applyFont="1" applyFill="1" applyBorder="1" applyAlignment="1">
      <alignment vertical="top"/>
    </xf>
    <xf numFmtId="0" fontId="24" fillId="39" borderId="10" xfId="0" applyFont="1" applyFill="1" applyBorder="1" applyAlignment="1">
      <alignment vertical="top" wrapText="1"/>
    </xf>
    <xf numFmtId="0" fontId="20" fillId="35" borderId="10" xfId="0" applyFont="1" applyFill="1" applyBorder="1" applyAlignment="1">
      <alignment vertical="top" wrapText="1"/>
    </xf>
    <xf numFmtId="0" fontId="25" fillId="40" borderId="10" xfId="0" applyFont="1" applyFill="1" applyBorder="1" applyAlignment="1">
      <alignment vertical="top" wrapText="1"/>
    </xf>
    <xf numFmtId="0" fontId="26" fillId="41" borderId="10" xfId="0" applyFont="1" applyFill="1" applyBorder="1" applyAlignment="1">
      <alignment vertical="top" wrapText="1"/>
    </xf>
    <xf numFmtId="0" fontId="27" fillId="42" borderId="10" xfId="0" applyFont="1" applyFill="1" applyBorder="1" applyAlignment="1">
      <alignment vertical="top" wrapText="1"/>
    </xf>
    <xf numFmtId="0" fontId="20" fillId="35" borderId="0" xfId="0" applyFont="1" applyFill="1" applyAlignment="1">
      <alignment vertical="top" wrapText="1"/>
    </xf>
    <xf numFmtId="0" fontId="20" fillId="35" borderId="10" xfId="0" applyFont="1" applyFill="1" applyBorder="1" applyAlignment="1">
      <alignment horizontal="right" vertical="top" wrapText="1"/>
    </xf>
    <xf numFmtId="164" fontId="20" fillId="35" borderId="10" xfId="0" applyNumberFormat="1" applyFont="1" applyFill="1" applyBorder="1" applyAlignment="1">
      <alignment horizontal="right" vertical="top" wrapText="1"/>
    </xf>
    <xf numFmtId="0" fontId="16" fillId="3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9" fillId="44" borderId="0" xfId="0" applyFont="1" applyFill="1"/>
    <xf numFmtId="2" fontId="0" fillId="0" borderId="0" xfId="0" applyNumberFormat="1"/>
    <xf numFmtId="0" fontId="28" fillId="45" borderId="0" xfId="0" applyFont="1" applyFill="1"/>
    <xf numFmtId="0" fontId="35" fillId="35" borderId="0" xfId="0" applyFont="1" applyFill="1" applyAlignment="1">
      <alignment vertical="center" wrapText="1"/>
    </xf>
    <xf numFmtId="0" fontId="35" fillId="55" borderId="0" xfId="0" applyFont="1" applyFill="1" applyAlignment="1">
      <alignment vertical="center" wrapText="1"/>
    </xf>
    <xf numFmtId="0" fontId="36" fillId="0" borderId="0" xfId="0" applyFont="1"/>
    <xf numFmtId="0" fontId="32" fillId="53" borderId="0" xfId="0" applyFont="1" applyFill="1" applyAlignment="1">
      <alignment horizontal="center" vertical="center"/>
    </xf>
    <xf numFmtId="9" fontId="34" fillId="35" borderId="0" xfId="0" applyNumberFormat="1" applyFont="1" applyFill="1" applyAlignment="1">
      <alignment horizontal="center" vertical="center"/>
    </xf>
    <xf numFmtId="0" fontId="34" fillId="35" borderId="0" xfId="0" applyFont="1" applyFill="1" applyAlignment="1">
      <alignment horizontal="center" vertical="center"/>
    </xf>
    <xf numFmtId="0" fontId="33" fillId="54" borderId="0" xfId="0" applyFont="1" applyFill="1"/>
    <xf numFmtId="0" fontId="32" fillId="50" borderId="0" xfId="0" applyFont="1" applyFill="1" applyAlignment="1">
      <alignment horizontal="center" vertical="center"/>
    </xf>
    <xf numFmtId="2" fontId="34" fillId="35" borderId="0" xfId="0" applyNumberFormat="1" applyFont="1" applyFill="1" applyAlignment="1">
      <alignment horizontal="center" vertical="center"/>
    </xf>
    <xf numFmtId="0" fontId="32" fillId="51" borderId="0" xfId="0" applyFont="1" applyFill="1" applyAlignment="1">
      <alignment horizontal="center" vertical="center"/>
    </xf>
    <xf numFmtId="0" fontId="32" fillId="52" borderId="0" xfId="0" applyFont="1" applyFill="1" applyAlignment="1">
      <alignment horizontal="center" vertical="center"/>
    </xf>
    <xf numFmtId="0" fontId="30" fillId="45" borderId="0" xfId="0" applyFont="1" applyFill="1" applyAlignment="1">
      <alignment horizontal="left" vertical="center"/>
    </xf>
    <xf numFmtId="0" fontId="31" fillId="0" borderId="0" xfId="0" applyFont="1"/>
    <xf numFmtId="0" fontId="32" fillId="46" borderId="0" xfId="0" applyFont="1" applyFill="1" applyAlignment="1">
      <alignment horizontal="center" vertical="center"/>
    </xf>
    <xf numFmtId="1" fontId="34" fillId="35" borderId="0" xfId="0" applyNumberFormat="1" applyFont="1" applyFill="1" applyAlignment="1">
      <alignment horizontal="center" vertical="center"/>
    </xf>
    <xf numFmtId="0" fontId="32" fillId="47" borderId="0" xfId="0" applyFont="1" applyFill="1" applyAlignment="1">
      <alignment horizontal="center" vertical="center"/>
    </xf>
    <xf numFmtId="0" fontId="32" fillId="48" borderId="0" xfId="0" applyFont="1" applyFill="1" applyAlignment="1">
      <alignment horizontal="center" vertical="center"/>
    </xf>
    <xf numFmtId="0" fontId="32" fillId="49" borderId="0" xfId="0" applyFont="1" applyFill="1" applyAlignment="1">
      <alignment horizontal="center" vertical="center"/>
    </xf>
    <xf numFmtId="0" fontId="21" fillId="36" borderId="0" xfId="0" applyFont="1" applyFill="1" applyAlignment="1">
      <alignment vertical="top" wrapText="1"/>
    </xf>
    <xf numFmtId="0" fontId="28" fillId="43" borderId="0" xfId="0" applyFont="1" applyFill="1" applyAlignment="1">
      <alignment vertical="top"/>
    </xf>
    <xf numFmtId="0" fontId="18" fillId="33" borderId="0" xfId="0" applyFont="1" applyFill="1" applyAlignment="1">
      <alignment vertical="top"/>
    </xf>
    <xf numFmtId="0" fontId="19" fillId="34" borderId="0" xfId="0" applyFont="1" applyFill="1" applyAlignment="1">
      <alignment vertical="top"/>
    </xf>
    <xf numFmtId="0" fontId="21" fillId="36" borderId="0" xfId="0" applyFont="1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m/d/yyyy\ h:mm"/>
    </dxf>
    <dxf>
      <numFmt numFmtId="19" formatCode="m/d/yyyy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Satisfaction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Data'!$A$2:$A$4</c:f>
              <c:strCache>
                <c:ptCount val="3"/>
                <c:pt idx="0">
                  <c:v>AMER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'Chart Data'!$B$2:$B$4</c:f>
              <c:numCache>
                <c:formatCode>0.00</c:formatCode>
                <c:ptCount val="3"/>
                <c:pt idx="0">
                  <c:v>3.9152542372881354</c:v>
                </c:pt>
                <c:pt idx="1">
                  <c:v>3.8571428571428572</c:v>
                </c:pt>
                <c:pt idx="2">
                  <c:v>3.873015873015873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8-4E15-9485-397819EE302B}"/>
            </c:ext>
          </c:extLst>
        </c:ser>
        <c:ser>
          <c:idx val="1"/>
          <c:order val="1"/>
          <c:tx>
            <c:v>Likely to use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Data'!$A$2:$A$4</c:f>
              <c:strCache>
                <c:ptCount val="3"/>
                <c:pt idx="0">
                  <c:v>AMER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'Chart Data'!$C$2:$C$4</c:f>
              <c:numCache>
                <c:formatCode>0.00</c:formatCode>
                <c:ptCount val="3"/>
                <c:pt idx="0">
                  <c:v>4.0333333333333332</c:v>
                </c:pt>
                <c:pt idx="1">
                  <c:v>4.333333333333333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C8-4E15-9485-397819EE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1023"/>
        <c:axId val="1254394479"/>
      </c:barChart>
      <c:catAx>
        <c:axId val="1929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94479"/>
        <c:crosses val="autoZero"/>
        <c:auto val="1"/>
        <c:lblAlgn val="ctr"/>
        <c:lblOffset val="100"/>
        <c:noMultiLvlLbl val="0"/>
      </c:catAx>
      <c:valAx>
        <c:axId val="1254394479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10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 the pace right?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Responses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4-4DC7-9F11-51B47D3670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4-4DC7-9F11-51B47D3670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E4-4DC7-9F11-51B47D3670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Data'!$A$9:$A$11</c:f>
              <c:strCache>
                <c:ptCount val="3"/>
                <c:pt idx="0">
                  <c:v>Just right</c:v>
                </c:pt>
                <c:pt idx="1">
                  <c:v>Too fast</c:v>
                </c:pt>
                <c:pt idx="2">
                  <c:v>Too slow</c:v>
                </c:pt>
              </c:strCache>
            </c:strRef>
          </c:cat>
          <c:val>
            <c:numRef>
              <c:f>'Chart Data'!$B$9:$B$11</c:f>
              <c:numCache>
                <c:formatCode>General</c:formatCode>
                <c:ptCount val="3"/>
                <c:pt idx="0">
                  <c:v>121</c:v>
                </c:pt>
                <c:pt idx="1">
                  <c:v>34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2-4CEB-876D-B103003DC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satisfaction by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Satisfaction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Data'!$A$16:$A$20</c:f>
              <c:strCache>
                <c:ptCount val="5"/>
                <c:pt idx="0">
                  <c:v>Copilot in Word &amp; PowerPoint</c:v>
                </c:pt>
                <c:pt idx="1">
                  <c:v>Copilot in OneNote</c:v>
                </c:pt>
                <c:pt idx="2">
                  <c:v>Copilot in Teams &amp; Outlook</c:v>
                </c:pt>
                <c:pt idx="3">
                  <c:v>M365 Copilot Foundation</c:v>
                </c:pt>
                <c:pt idx="4">
                  <c:v>Copilot in Excel</c:v>
                </c:pt>
              </c:strCache>
            </c:strRef>
          </c:cat>
          <c:val>
            <c:numRef>
              <c:f>'Chart Data'!$B$16:$B$20</c:f>
              <c:numCache>
                <c:formatCode>0.00</c:formatCode>
                <c:ptCount val="5"/>
                <c:pt idx="0">
                  <c:v>4.1212121212121211</c:v>
                </c:pt>
                <c:pt idx="1">
                  <c:v>4</c:v>
                </c:pt>
                <c:pt idx="2">
                  <c:v>3.8461538461538463</c:v>
                </c:pt>
                <c:pt idx="3">
                  <c:v>3.8285714285714287</c:v>
                </c:pt>
                <c:pt idx="4">
                  <c:v>3.6285714285714286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F-483D-B1AD-5806E38C4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34863"/>
        <c:axId val="1254463119"/>
      </c:barChart>
      <c:catAx>
        <c:axId val="1943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63119"/>
        <c:crosses val="autoZero"/>
        <c:auto val="1"/>
        <c:lblAlgn val="ctr"/>
        <c:lblOffset val="100"/>
        <c:noMultiLvlLbl val="0"/>
      </c:catAx>
      <c:valAx>
        <c:axId val="1254463119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486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satisfaction by session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Satisfaction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Data'!$A$25:$A$36</c:f>
              <c:numCache>
                <c:formatCode>m/d/yyyy</c:formatCode>
                <c:ptCount val="12"/>
                <c:pt idx="0">
                  <c:v>46300</c:v>
                </c:pt>
                <c:pt idx="1">
                  <c:v>46301</c:v>
                </c:pt>
                <c:pt idx="2">
                  <c:v>46302</c:v>
                </c:pt>
                <c:pt idx="3">
                  <c:v>46304</c:v>
                </c:pt>
                <c:pt idx="4">
                  <c:v>46307</c:v>
                </c:pt>
                <c:pt idx="5">
                  <c:v>46308</c:v>
                </c:pt>
                <c:pt idx="6">
                  <c:v>46309</c:v>
                </c:pt>
                <c:pt idx="7">
                  <c:v>46310</c:v>
                </c:pt>
                <c:pt idx="8">
                  <c:v>46314</c:v>
                </c:pt>
                <c:pt idx="9">
                  <c:v>46316</c:v>
                </c:pt>
                <c:pt idx="10">
                  <c:v>46317</c:v>
                </c:pt>
                <c:pt idx="11">
                  <c:v>46318</c:v>
                </c:pt>
              </c:numCache>
            </c:numRef>
          </c:cat>
          <c:val>
            <c:numRef>
              <c:f>'Chart Data'!$B$25:$B$36</c:f>
              <c:numCache>
                <c:formatCode>0.00</c:formatCode>
                <c:ptCount val="12"/>
                <c:pt idx="0">
                  <c:v>3.5454545454545454</c:v>
                </c:pt>
                <c:pt idx="1">
                  <c:v>4.25</c:v>
                </c:pt>
                <c:pt idx="2">
                  <c:v>3.6666666666666665</c:v>
                </c:pt>
                <c:pt idx="3">
                  <c:v>3.6</c:v>
                </c:pt>
                <c:pt idx="4">
                  <c:v>3.65</c:v>
                </c:pt>
                <c:pt idx="5">
                  <c:v>4.384615384615385</c:v>
                </c:pt>
                <c:pt idx="6">
                  <c:v>3.6363636363636362</c:v>
                </c:pt>
                <c:pt idx="7">
                  <c:v>4.333333333333333</c:v>
                </c:pt>
                <c:pt idx="8">
                  <c:v>3.8461538461538463</c:v>
                </c:pt>
                <c:pt idx="9">
                  <c:v>4.0999999999999996</c:v>
                </c:pt>
                <c:pt idx="10">
                  <c:v>3.8571428571428572</c:v>
                </c:pt>
                <c:pt idx="11">
                  <c:v>4.083333333333333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7-46FD-906B-E06DDF964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1055"/>
        <c:axId val="1254468399"/>
      </c:lineChart>
      <c:dateAx>
        <c:axId val="191810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68399"/>
        <c:crosses val="autoZero"/>
        <c:auto val="1"/>
        <c:lblOffset val="100"/>
        <c:baseTimeUnit val="days"/>
      </c:dateAx>
      <c:valAx>
        <c:axId val="125446839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105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Regional Experience">
          <a:extLst>
            <a:ext uri="{FF2B5EF4-FFF2-40B4-BE49-F238E27FC236}">
              <a16:creationId xmlns:a16="http://schemas.microsoft.com/office/drawing/2014/main" id="{A9A3A29F-CE41-9DB2-B954-C389EF63A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3" name="Pace Distribution">
          <a:extLst>
            <a:ext uri="{FF2B5EF4-FFF2-40B4-BE49-F238E27FC236}">
              <a16:creationId xmlns:a16="http://schemas.microsoft.com/office/drawing/2014/main" id="{920A305A-F4D0-ABDB-EB51-EAA415F2D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9</xdr:col>
      <xdr:colOff>0</xdr:colOff>
      <xdr:row>48</xdr:row>
      <xdr:rowOff>0</xdr:rowOff>
    </xdr:to>
    <xdr:graphicFrame macro="">
      <xdr:nvGraphicFramePr>
        <xdr:cNvPr id="4" name="Topic Satisfaction">
          <a:extLst>
            <a:ext uri="{FF2B5EF4-FFF2-40B4-BE49-F238E27FC236}">
              <a16:creationId xmlns:a16="http://schemas.microsoft.com/office/drawing/2014/main" id="{A63E249E-1135-ADF2-44DE-79DDDD1A1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19</xdr:col>
      <xdr:colOff>0</xdr:colOff>
      <xdr:row>48</xdr:row>
      <xdr:rowOff>0</xdr:rowOff>
    </xdr:to>
    <xdr:graphicFrame macro="">
      <xdr:nvGraphicFramePr>
        <xdr:cNvPr id="5" name="Satisfaction Trend">
          <a:extLst>
            <a:ext uri="{FF2B5EF4-FFF2-40B4-BE49-F238E27FC236}">
              <a16:creationId xmlns:a16="http://schemas.microsoft.com/office/drawing/2014/main" id="{B12DF25D-F73B-B3C8-2C83-0C27991EC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99A41-7902-4FEF-AF2E-B78A062EAB11}" name="TrainingResponses" displayName="TrainingResponses" ref="A1:X182" totalsRowShown="0" headerRowDxfId="2">
  <autoFilter ref="A1:X182" xr:uid="{8F099A41-7902-4FEF-AF2E-B78A062EAB11}"/>
  <tableColumns count="24">
    <tableColumn id="1" xr3:uid="{C5366359-ED04-4333-AFEB-C1AAE04911DC}" name="ResponseID"/>
    <tableColumn id="2" xr3:uid="{EF662BF3-E21C-4267-B0E5-3C436413D326}" name="SessionID"/>
    <tableColumn id="3" xr3:uid="{BFEAA279-8FE7-4E09-B8AC-618D4BD09C51}" name="SessionTitle"/>
    <tableColumn id="4" xr3:uid="{798D27D1-6A42-409F-8F4A-CC62572CA00A}" name="SessionDate" dataDxfId="1"/>
    <tableColumn id="5" xr3:uid="{FD190474-313A-414D-8592-2C9DDA9769AA}" name="Region"/>
    <tableColumn id="6" xr3:uid="{59C24718-1304-49F1-93E7-FC6FA63CA4B3}" name="TimeZone"/>
    <tableColumn id="7" xr3:uid="{BC5D6847-5834-45ED-AA8E-6865428EE5BA}" name="Location"/>
    <tableColumn id="8" xr3:uid="{B7C0F1D8-3304-4CC7-957E-B900F5B05604}" name="Trainer"/>
    <tableColumn id="9" xr3:uid="{CBD27BE4-3208-4810-BA96-25EA5F84FC48}" name="DeliveryFormat"/>
    <tableColumn id="10" xr3:uid="{7ED87961-3E6B-4481-AFAA-35FA1F869C63}" name="Department"/>
    <tableColumn id="11" xr3:uid="{FC24AD77-7F99-4D2B-ADA7-E3E451B66D62}" name="RoleLevel"/>
    <tableColumn id="12" xr3:uid="{13F594D4-3A41-4116-BCCD-E724DA85F058}" name="PriorCopilotUse"/>
    <tableColumn id="13" xr3:uid="{92D606D8-8911-4EDA-807C-6E456174DB6B}" name="AttendedFullSession"/>
    <tableColumn id="14" xr3:uid="{35E5B8B0-0E37-4924-8F7A-D8AE4E29B19B}" name="OverallSatisfaction_1to5"/>
    <tableColumn id="15" xr3:uid="{A69EB8C0-C0BD-4ED6-AB7D-CB6554C63D06}" name="ContentRelevance_1to5"/>
    <tableColumn id="16" xr3:uid="{73F7B685-5AD8-400E-9FC7-DC04509EBFB1}" name="TrainerKnowledge_1to5"/>
    <tableColumn id="17" xr3:uid="{9FE178F4-D5DD-4D0B-809F-3F5CDFB91BAC}" name="MaterialsQuality_1to5"/>
    <tableColumn id="18" xr3:uid="{D6CF8D68-AC96-44D4-ACA2-5793E4ED2D30}" name="Pace"/>
    <tableColumn id="19" xr3:uid="{305678CF-8D8D-4415-B22E-7C065FDC7DD5}" name="LikelyToUseCopilot_1to5"/>
    <tableColumn id="20" xr3:uid="{C2E0AA9C-0A56-4A6F-ABC6-EC3A4EF15BEE}" name="NPS_0to10"/>
    <tableColumn id="21" xr3:uid="{432D7304-9B91-4EB5-A14F-141D2D235D7B}" name="WouldJoinNextSession"/>
    <tableColumn id="22" xr3:uid="{0B59A9FE-B66C-44D5-A3B0-3767F4C8D31C}" name="Comments"/>
    <tableColumn id="23" xr3:uid="{6EEBA5F2-E1DB-4417-B3E7-1B9DB5F0FFD2}" name="SubmittedAt" dataDxfId="0"/>
    <tableColumn id="24" xr3:uid="{2A90498B-D0EE-4E46-99F9-B4996852B7F2}" name="Data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69FB-0F80-4B5D-A857-3B8638B9E991}">
  <dimension ref="A1:X182"/>
  <sheetViews>
    <sheetView tabSelected="1" topLeftCell="F1" workbookViewId="0">
      <selection activeCell="AA2" sqref="AA2"/>
    </sheetView>
  </sheetViews>
  <sheetFormatPr defaultRowHeight="15" x14ac:dyDescent="0.25"/>
  <cols>
    <col min="2" max="2" width="18.42578125" customWidth="1"/>
    <col min="3" max="3" width="22" customWidth="1"/>
    <col min="4" max="4" width="13.42578125" customWidth="1"/>
    <col min="10" max="10" width="17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s="1">
        <v>46300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5</v>
      </c>
      <c r="O2">
        <v>4</v>
      </c>
      <c r="P2">
        <v>4</v>
      </c>
      <c r="Q2">
        <v>5</v>
      </c>
      <c r="R2" t="s">
        <v>36</v>
      </c>
      <c r="S2">
        <v>5</v>
      </c>
      <c r="T2">
        <v>10</v>
      </c>
      <c r="U2" t="s">
        <v>37</v>
      </c>
      <c r="V2" t="s">
        <v>38</v>
      </c>
      <c r="W2" s="2">
        <v>46300.62222222222</v>
      </c>
      <c r="X2" t="s">
        <v>39</v>
      </c>
    </row>
    <row r="3" spans="1:24" x14ac:dyDescent="0.25">
      <c r="A3" t="s">
        <v>40</v>
      </c>
      <c r="B3" t="s">
        <v>25</v>
      </c>
      <c r="C3" t="s">
        <v>26</v>
      </c>
      <c r="D3" s="1">
        <v>46300</v>
      </c>
      <c r="E3" t="s">
        <v>27</v>
      </c>
      <c r="F3" t="s">
        <v>28</v>
      </c>
      <c r="G3" t="s">
        <v>41</v>
      </c>
      <c r="H3" t="s">
        <v>30</v>
      </c>
      <c r="I3" t="s">
        <v>31</v>
      </c>
      <c r="J3" t="s">
        <v>42</v>
      </c>
      <c r="K3" t="s">
        <v>43</v>
      </c>
      <c r="L3" t="s">
        <v>44</v>
      </c>
      <c r="M3" t="s">
        <v>45</v>
      </c>
      <c r="N3">
        <v>4</v>
      </c>
      <c r="O3">
        <v>2</v>
      </c>
      <c r="P3">
        <v>3</v>
      </c>
      <c r="Q3">
        <v>3</v>
      </c>
      <c r="R3" t="s">
        <v>46</v>
      </c>
      <c r="S3">
        <v>4</v>
      </c>
      <c r="T3">
        <v>5</v>
      </c>
      <c r="U3" t="s">
        <v>37</v>
      </c>
      <c r="V3" t="s">
        <v>47</v>
      </c>
      <c r="W3" s="2">
        <v>46300.793055555558</v>
      </c>
      <c r="X3" t="s">
        <v>39</v>
      </c>
    </row>
    <row r="4" spans="1:24" x14ac:dyDescent="0.25">
      <c r="A4" t="s">
        <v>48</v>
      </c>
      <c r="B4" t="s">
        <v>25</v>
      </c>
      <c r="C4" t="s">
        <v>26</v>
      </c>
      <c r="D4" s="1">
        <v>46300</v>
      </c>
      <c r="E4" t="s">
        <v>27</v>
      </c>
      <c r="F4" t="s">
        <v>28</v>
      </c>
      <c r="G4" t="s">
        <v>49</v>
      </c>
      <c r="H4" t="s">
        <v>30</v>
      </c>
      <c r="I4" t="s">
        <v>31</v>
      </c>
      <c r="J4" t="s">
        <v>50</v>
      </c>
      <c r="K4" t="s">
        <v>43</v>
      </c>
      <c r="L4" t="s">
        <v>34</v>
      </c>
      <c r="M4" t="s">
        <v>45</v>
      </c>
      <c r="N4">
        <v>5</v>
      </c>
      <c r="O4">
        <v>5</v>
      </c>
      <c r="P4">
        <v>5</v>
      </c>
      <c r="Q4">
        <v>5</v>
      </c>
      <c r="R4" t="s">
        <v>51</v>
      </c>
      <c r="S4">
        <v>5</v>
      </c>
      <c r="T4">
        <v>10</v>
      </c>
      <c r="U4" t="s">
        <v>35</v>
      </c>
      <c r="V4" t="s">
        <v>52</v>
      </c>
      <c r="W4" s="2">
        <v>46300.67291666667</v>
      </c>
      <c r="X4" t="s">
        <v>39</v>
      </c>
    </row>
    <row r="5" spans="1:24" x14ac:dyDescent="0.25">
      <c r="A5" t="s">
        <v>53</v>
      </c>
      <c r="B5" t="s">
        <v>25</v>
      </c>
      <c r="C5" t="s">
        <v>26</v>
      </c>
      <c r="D5" s="1">
        <v>46300</v>
      </c>
      <c r="E5" t="s">
        <v>27</v>
      </c>
      <c r="F5" t="s">
        <v>28</v>
      </c>
      <c r="G5" t="s">
        <v>54</v>
      </c>
      <c r="H5" t="s">
        <v>30</v>
      </c>
      <c r="I5" t="s">
        <v>31</v>
      </c>
      <c r="J5" t="s">
        <v>42</v>
      </c>
      <c r="K5" t="s">
        <v>55</v>
      </c>
      <c r="L5" t="s">
        <v>34</v>
      </c>
      <c r="M5" t="s">
        <v>45</v>
      </c>
      <c r="N5">
        <v>1</v>
      </c>
      <c r="O5">
        <v>3</v>
      </c>
      <c r="P5">
        <v>2</v>
      </c>
      <c r="Q5">
        <v>3</v>
      </c>
      <c r="R5" t="s">
        <v>36</v>
      </c>
      <c r="S5">
        <v>1</v>
      </c>
      <c r="T5">
        <v>3</v>
      </c>
      <c r="U5" t="s">
        <v>45</v>
      </c>
      <c r="V5" t="s">
        <v>56</v>
      </c>
      <c r="W5" s="2">
        <v>46301.456250000003</v>
      </c>
      <c r="X5" t="s">
        <v>39</v>
      </c>
    </row>
    <row r="6" spans="1:24" x14ac:dyDescent="0.25">
      <c r="A6" t="s">
        <v>57</v>
      </c>
      <c r="B6" t="s">
        <v>25</v>
      </c>
      <c r="C6" t="s">
        <v>26</v>
      </c>
      <c r="D6" s="1">
        <v>46300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58</v>
      </c>
      <c r="M6" t="s">
        <v>35</v>
      </c>
      <c r="N6">
        <v>3</v>
      </c>
      <c r="O6">
        <v>5</v>
      </c>
      <c r="P6">
        <v>3</v>
      </c>
      <c r="Q6">
        <v>4</v>
      </c>
      <c r="R6" t="s">
        <v>51</v>
      </c>
      <c r="S6">
        <v>5</v>
      </c>
      <c r="T6">
        <v>7</v>
      </c>
      <c r="U6" t="s">
        <v>35</v>
      </c>
      <c r="V6" t="s">
        <v>59</v>
      </c>
      <c r="W6" s="2">
        <v>46300.758333333331</v>
      </c>
      <c r="X6" t="s">
        <v>39</v>
      </c>
    </row>
    <row r="7" spans="1:24" x14ac:dyDescent="0.25">
      <c r="A7" t="s">
        <v>60</v>
      </c>
      <c r="B7" t="s">
        <v>25</v>
      </c>
      <c r="C7" t="s">
        <v>26</v>
      </c>
      <c r="D7" s="1">
        <v>46300</v>
      </c>
      <c r="E7" t="s">
        <v>27</v>
      </c>
      <c r="F7" t="s">
        <v>28</v>
      </c>
      <c r="G7" t="s">
        <v>41</v>
      </c>
      <c r="H7" t="s">
        <v>30</v>
      </c>
      <c r="I7" t="s">
        <v>31</v>
      </c>
      <c r="J7" t="s">
        <v>61</v>
      </c>
      <c r="K7" t="s">
        <v>43</v>
      </c>
      <c r="L7" t="s">
        <v>34</v>
      </c>
      <c r="M7" t="s">
        <v>45</v>
      </c>
      <c r="N7">
        <v>3</v>
      </c>
      <c r="O7">
        <v>4</v>
      </c>
      <c r="P7">
        <v>4</v>
      </c>
      <c r="Q7">
        <v>4</v>
      </c>
      <c r="R7" t="s">
        <v>51</v>
      </c>
      <c r="S7">
        <v>4</v>
      </c>
      <c r="T7">
        <v>8</v>
      </c>
      <c r="U7" t="s">
        <v>37</v>
      </c>
      <c r="V7" t="s">
        <v>62</v>
      </c>
      <c r="W7" s="2">
        <v>46301.46875</v>
      </c>
      <c r="X7" t="s">
        <v>39</v>
      </c>
    </row>
    <row r="8" spans="1:24" x14ac:dyDescent="0.25">
      <c r="A8" t="s">
        <v>63</v>
      </c>
      <c r="B8" t="s">
        <v>25</v>
      </c>
      <c r="C8" t="s">
        <v>26</v>
      </c>
      <c r="D8" s="1">
        <v>46300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64</v>
      </c>
      <c r="K8" t="s">
        <v>65</v>
      </c>
      <c r="L8" t="s">
        <v>44</v>
      </c>
      <c r="M8" t="s">
        <v>45</v>
      </c>
      <c r="N8">
        <v>3</v>
      </c>
      <c r="O8">
        <v>4</v>
      </c>
      <c r="P8">
        <v>4</v>
      </c>
      <c r="Q8">
        <v>4</v>
      </c>
      <c r="R8" t="s">
        <v>51</v>
      </c>
      <c r="S8">
        <v>4</v>
      </c>
      <c r="T8">
        <v>8</v>
      </c>
      <c r="U8" t="s">
        <v>45</v>
      </c>
      <c r="W8" s="2">
        <v>46300.490277777775</v>
      </c>
      <c r="X8" t="s">
        <v>39</v>
      </c>
    </row>
    <row r="9" spans="1:24" x14ac:dyDescent="0.25">
      <c r="A9" t="s">
        <v>66</v>
      </c>
      <c r="B9" t="s">
        <v>25</v>
      </c>
      <c r="C9" t="s">
        <v>26</v>
      </c>
      <c r="D9" s="1">
        <v>46300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61</v>
      </c>
      <c r="K9" t="s">
        <v>65</v>
      </c>
      <c r="L9" t="s">
        <v>67</v>
      </c>
      <c r="M9" t="s">
        <v>45</v>
      </c>
      <c r="N9">
        <v>5</v>
      </c>
      <c r="O9">
        <v>5</v>
      </c>
      <c r="P9">
        <v>5</v>
      </c>
      <c r="Q9">
        <v>5</v>
      </c>
      <c r="R9" t="s">
        <v>51</v>
      </c>
      <c r="S9">
        <v>5</v>
      </c>
      <c r="T9">
        <v>10</v>
      </c>
      <c r="U9" t="s">
        <v>45</v>
      </c>
      <c r="V9" t="s">
        <v>62</v>
      </c>
      <c r="W9" s="2">
        <v>46300.67291666667</v>
      </c>
      <c r="X9" t="s">
        <v>39</v>
      </c>
    </row>
    <row r="10" spans="1:24" x14ac:dyDescent="0.25">
      <c r="A10" t="s">
        <v>68</v>
      </c>
      <c r="B10" t="s">
        <v>25</v>
      </c>
      <c r="C10" t="s">
        <v>26</v>
      </c>
      <c r="D10" s="1">
        <v>46300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42</v>
      </c>
      <c r="K10" t="s">
        <v>55</v>
      </c>
      <c r="L10" t="s">
        <v>34</v>
      </c>
      <c r="M10" t="s">
        <v>45</v>
      </c>
      <c r="N10">
        <v>2</v>
      </c>
      <c r="O10">
        <v>3</v>
      </c>
      <c r="P10">
        <v>3</v>
      </c>
      <c r="Q10">
        <v>3</v>
      </c>
      <c r="R10" t="s">
        <v>51</v>
      </c>
      <c r="S10">
        <v>4</v>
      </c>
      <c r="T10">
        <v>6</v>
      </c>
      <c r="U10" t="s">
        <v>45</v>
      </c>
      <c r="V10" t="s">
        <v>69</v>
      </c>
      <c r="W10" s="2">
        <v>46300.527083333334</v>
      </c>
      <c r="X10" t="s">
        <v>39</v>
      </c>
    </row>
    <row r="11" spans="1:24" x14ac:dyDescent="0.25">
      <c r="A11" t="s">
        <v>70</v>
      </c>
      <c r="B11" t="s">
        <v>25</v>
      </c>
      <c r="C11" t="s">
        <v>26</v>
      </c>
      <c r="D11" s="1">
        <v>46300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71</v>
      </c>
      <c r="K11" t="s">
        <v>55</v>
      </c>
      <c r="L11" t="s">
        <v>72</v>
      </c>
      <c r="M11" t="s">
        <v>45</v>
      </c>
      <c r="N11">
        <v>3</v>
      </c>
      <c r="O11">
        <v>3</v>
      </c>
      <c r="P11">
        <v>3</v>
      </c>
      <c r="Q11">
        <v>2</v>
      </c>
      <c r="R11" t="s">
        <v>51</v>
      </c>
      <c r="S11">
        <v>4</v>
      </c>
      <c r="T11">
        <v>4</v>
      </c>
      <c r="U11" t="s">
        <v>35</v>
      </c>
      <c r="W11" s="2">
        <v>46300.785416666666</v>
      </c>
      <c r="X11" t="s">
        <v>39</v>
      </c>
    </row>
    <row r="12" spans="1:24" x14ac:dyDescent="0.25">
      <c r="A12" t="s">
        <v>73</v>
      </c>
      <c r="B12" t="s">
        <v>25</v>
      </c>
      <c r="C12" t="s">
        <v>26</v>
      </c>
      <c r="D12" s="1">
        <v>46300</v>
      </c>
      <c r="E12" t="s">
        <v>27</v>
      </c>
      <c r="F12" t="s">
        <v>28</v>
      </c>
      <c r="G12" t="s">
        <v>54</v>
      </c>
      <c r="H12" t="s">
        <v>30</v>
      </c>
      <c r="I12" t="s">
        <v>31</v>
      </c>
      <c r="J12" t="s">
        <v>71</v>
      </c>
      <c r="K12" t="s">
        <v>65</v>
      </c>
      <c r="L12" t="s">
        <v>34</v>
      </c>
      <c r="M12" t="s">
        <v>45</v>
      </c>
      <c r="N12">
        <v>5</v>
      </c>
      <c r="O12">
        <v>5</v>
      </c>
      <c r="P12">
        <v>5</v>
      </c>
      <c r="Q12">
        <v>5</v>
      </c>
      <c r="R12" t="s">
        <v>51</v>
      </c>
      <c r="S12">
        <v>5</v>
      </c>
      <c r="T12">
        <v>10</v>
      </c>
      <c r="U12" t="s">
        <v>45</v>
      </c>
      <c r="V12" t="s">
        <v>74</v>
      </c>
      <c r="W12" s="2">
        <v>46300.696527777778</v>
      </c>
      <c r="X12" t="s">
        <v>39</v>
      </c>
    </row>
    <row r="13" spans="1:24" x14ac:dyDescent="0.25">
      <c r="A13" t="s">
        <v>75</v>
      </c>
      <c r="B13" t="s">
        <v>76</v>
      </c>
      <c r="C13" t="s">
        <v>26</v>
      </c>
      <c r="D13" s="1">
        <v>46301</v>
      </c>
      <c r="E13" t="s">
        <v>77</v>
      </c>
      <c r="F13" t="s">
        <v>78</v>
      </c>
      <c r="G13" t="s">
        <v>79</v>
      </c>
      <c r="H13" t="s">
        <v>80</v>
      </c>
      <c r="I13" t="s">
        <v>31</v>
      </c>
      <c r="J13" t="s">
        <v>81</v>
      </c>
      <c r="K13" t="s">
        <v>65</v>
      </c>
      <c r="L13" t="s">
        <v>34</v>
      </c>
      <c r="M13" t="s">
        <v>45</v>
      </c>
      <c r="N13">
        <v>5</v>
      </c>
      <c r="O13">
        <v>4</v>
      </c>
      <c r="P13">
        <v>3</v>
      </c>
      <c r="Q13">
        <v>4</v>
      </c>
      <c r="R13" t="s">
        <v>51</v>
      </c>
      <c r="S13">
        <v>5</v>
      </c>
      <c r="T13">
        <v>6</v>
      </c>
      <c r="U13" t="s">
        <v>45</v>
      </c>
      <c r="W13" s="2">
        <v>46303.399305555555</v>
      </c>
      <c r="X13" t="s">
        <v>39</v>
      </c>
    </row>
    <row r="14" spans="1:24" x14ac:dyDescent="0.25">
      <c r="A14" t="s">
        <v>82</v>
      </c>
      <c r="B14" t="s">
        <v>76</v>
      </c>
      <c r="C14" t="s">
        <v>26</v>
      </c>
      <c r="D14" s="1">
        <v>46301</v>
      </c>
      <c r="E14" t="s">
        <v>77</v>
      </c>
      <c r="F14" t="s">
        <v>78</v>
      </c>
      <c r="G14" t="s">
        <v>83</v>
      </c>
      <c r="H14" t="s">
        <v>80</v>
      </c>
      <c r="I14" t="s">
        <v>31</v>
      </c>
      <c r="J14" t="s">
        <v>81</v>
      </c>
      <c r="K14" t="s">
        <v>65</v>
      </c>
      <c r="L14" t="s">
        <v>34</v>
      </c>
      <c r="M14" t="s">
        <v>45</v>
      </c>
      <c r="N14">
        <v>5</v>
      </c>
      <c r="O14">
        <v>4</v>
      </c>
      <c r="P14">
        <v>5</v>
      </c>
      <c r="Q14">
        <v>4</v>
      </c>
      <c r="R14" t="s">
        <v>51</v>
      </c>
      <c r="S14">
        <v>4</v>
      </c>
      <c r="T14">
        <v>8</v>
      </c>
      <c r="U14" t="s">
        <v>45</v>
      </c>
      <c r="V14" t="s">
        <v>62</v>
      </c>
      <c r="W14" s="2">
        <v>46301.530555555553</v>
      </c>
      <c r="X14" t="s">
        <v>39</v>
      </c>
    </row>
    <row r="15" spans="1:24" x14ac:dyDescent="0.25">
      <c r="A15" t="s">
        <v>84</v>
      </c>
      <c r="B15" t="s">
        <v>76</v>
      </c>
      <c r="C15" t="s">
        <v>26</v>
      </c>
      <c r="D15" s="1">
        <v>46301</v>
      </c>
      <c r="E15" t="s">
        <v>77</v>
      </c>
      <c r="F15" t="s">
        <v>78</v>
      </c>
      <c r="G15" t="s">
        <v>85</v>
      </c>
      <c r="H15" t="s">
        <v>80</v>
      </c>
      <c r="I15" t="s">
        <v>31</v>
      </c>
      <c r="J15" t="s">
        <v>86</v>
      </c>
      <c r="K15" t="s">
        <v>43</v>
      </c>
      <c r="L15" t="s">
        <v>72</v>
      </c>
      <c r="M15" t="s">
        <v>45</v>
      </c>
      <c r="N15">
        <v>2</v>
      </c>
      <c r="O15">
        <v>2</v>
      </c>
      <c r="P15">
        <v>2</v>
      </c>
      <c r="Q15">
        <v>1</v>
      </c>
      <c r="R15" t="s">
        <v>46</v>
      </c>
      <c r="S15">
        <v>2</v>
      </c>
      <c r="T15">
        <v>4</v>
      </c>
      <c r="U15" t="s">
        <v>45</v>
      </c>
      <c r="W15" s="2">
        <v>46302.520138888889</v>
      </c>
      <c r="X15" t="s">
        <v>39</v>
      </c>
    </row>
    <row r="16" spans="1:24" x14ac:dyDescent="0.25">
      <c r="A16" t="s">
        <v>87</v>
      </c>
      <c r="B16" t="s">
        <v>76</v>
      </c>
      <c r="C16" t="s">
        <v>26</v>
      </c>
      <c r="D16" s="1">
        <v>46301</v>
      </c>
      <c r="E16" t="s">
        <v>77</v>
      </c>
      <c r="F16" t="s">
        <v>78</v>
      </c>
      <c r="G16" t="s">
        <v>83</v>
      </c>
      <c r="H16" t="s">
        <v>80</v>
      </c>
      <c r="I16" t="s">
        <v>31</v>
      </c>
      <c r="J16" t="s">
        <v>61</v>
      </c>
      <c r="K16" t="s">
        <v>65</v>
      </c>
      <c r="L16" t="s">
        <v>44</v>
      </c>
      <c r="M16" t="s">
        <v>45</v>
      </c>
      <c r="N16">
        <v>5</v>
      </c>
      <c r="O16">
        <v>5</v>
      </c>
      <c r="P16">
        <v>5</v>
      </c>
      <c r="Q16">
        <v>5</v>
      </c>
      <c r="R16" t="s">
        <v>51</v>
      </c>
      <c r="S16">
        <v>5</v>
      </c>
      <c r="T16">
        <v>8</v>
      </c>
      <c r="U16" t="s">
        <v>37</v>
      </c>
      <c r="W16" s="2">
        <v>46301.583333333336</v>
      </c>
      <c r="X16" t="s">
        <v>39</v>
      </c>
    </row>
    <row r="17" spans="1:24" x14ac:dyDescent="0.25">
      <c r="A17" t="s">
        <v>88</v>
      </c>
      <c r="B17" t="s">
        <v>76</v>
      </c>
      <c r="C17" t="s">
        <v>26</v>
      </c>
      <c r="D17" s="1">
        <v>46301</v>
      </c>
      <c r="E17" t="s">
        <v>77</v>
      </c>
      <c r="F17" t="s">
        <v>78</v>
      </c>
      <c r="G17" t="s">
        <v>85</v>
      </c>
      <c r="H17" t="s">
        <v>80</v>
      </c>
      <c r="I17" t="s">
        <v>31</v>
      </c>
      <c r="J17" t="s">
        <v>81</v>
      </c>
      <c r="K17" t="s">
        <v>43</v>
      </c>
      <c r="L17" t="s">
        <v>34</v>
      </c>
      <c r="M17" t="s">
        <v>35</v>
      </c>
      <c r="N17">
        <v>3</v>
      </c>
      <c r="O17">
        <v>2</v>
      </c>
      <c r="P17">
        <v>3</v>
      </c>
      <c r="Q17">
        <v>2</v>
      </c>
      <c r="R17" t="s">
        <v>46</v>
      </c>
      <c r="S17">
        <v>4</v>
      </c>
      <c r="T17">
        <v>5</v>
      </c>
      <c r="U17" t="s">
        <v>45</v>
      </c>
      <c r="V17" t="s">
        <v>69</v>
      </c>
      <c r="W17" s="2">
        <v>46301.699305555558</v>
      </c>
      <c r="X17" t="s">
        <v>39</v>
      </c>
    </row>
    <row r="18" spans="1:24" x14ac:dyDescent="0.25">
      <c r="A18" t="s">
        <v>89</v>
      </c>
      <c r="B18" t="s">
        <v>76</v>
      </c>
      <c r="C18" t="s">
        <v>26</v>
      </c>
      <c r="D18" s="1">
        <v>46301</v>
      </c>
      <c r="E18" t="s">
        <v>77</v>
      </c>
      <c r="F18" t="s">
        <v>78</v>
      </c>
      <c r="G18" t="s">
        <v>79</v>
      </c>
      <c r="H18" t="s">
        <v>80</v>
      </c>
      <c r="I18" t="s">
        <v>31</v>
      </c>
      <c r="J18" t="s">
        <v>50</v>
      </c>
      <c r="K18" t="s">
        <v>65</v>
      </c>
      <c r="L18" t="s">
        <v>72</v>
      </c>
      <c r="M18" t="s">
        <v>35</v>
      </c>
      <c r="N18">
        <v>4</v>
      </c>
      <c r="O18">
        <v>3</v>
      </c>
      <c r="P18">
        <v>3</v>
      </c>
      <c r="Q18">
        <v>4</v>
      </c>
      <c r="R18" t="s">
        <v>51</v>
      </c>
      <c r="S18">
        <v>5</v>
      </c>
      <c r="T18">
        <v>6</v>
      </c>
      <c r="U18" t="s">
        <v>35</v>
      </c>
      <c r="V18" t="s">
        <v>74</v>
      </c>
      <c r="W18" s="2">
        <v>46302.561111111114</v>
      </c>
      <c r="X18" t="s">
        <v>39</v>
      </c>
    </row>
    <row r="19" spans="1:24" x14ac:dyDescent="0.25">
      <c r="A19" t="s">
        <v>90</v>
      </c>
      <c r="B19" t="s">
        <v>76</v>
      </c>
      <c r="C19" t="s">
        <v>26</v>
      </c>
      <c r="D19" s="1">
        <v>46301</v>
      </c>
      <c r="E19" t="s">
        <v>77</v>
      </c>
      <c r="F19" t="s">
        <v>78</v>
      </c>
      <c r="G19" t="s">
        <v>83</v>
      </c>
      <c r="H19" t="s">
        <v>80</v>
      </c>
      <c r="I19" t="s">
        <v>31</v>
      </c>
      <c r="J19" t="s">
        <v>86</v>
      </c>
      <c r="K19" t="s">
        <v>55</v>
      </c>
      <c r="L19" t="s">
        <v>72</v>
      </c>
      <c r="M19" t="s">
        <v>45</v>
      </c>
      <c r="N19">
        <v>4</v>
      </c>
      <c r="O19">
        <v>5</v>
      </c>
      <c r="P19">
        <v>3</v>
      </c>
      <c r="Q19">
        <v>4</v>
      </c>
      <c r="R19" t="s">
        <v>51</v>
      </c>
      <c r="S19">
        <v>5</v>
      </c>
      <c r="T19">
        <v>7</v>
      </c>
      <c r="U19" t="s">
        <v>45</v>
      </c>
      <c r="V19" t="s">
        <v>91</v>
      </c>
      <c r="W19" s="2">
        <v>46301.581250000003</v>
      </c>
      <c r="X19" t="s">
        <v>39</v>
      </c>
    </row>
    <row r="20" spans="1:24" x14ac:dyDescent="0.25">
      <c r="A20" t="s">
        <v>92</v>
      </c>
      <c r="B20" t="s">
        <v>76</v>
      </c>
      <c r="C20" t="s">
        <v>26</v>
      </c>
      <c r="D20" s="1">
        <v>46301</v>
      </c>
      <c r="E20" t="s">
        <v>77</v>
      </c>
      <c r="F20" t="s">
        <v>78</v>
      </c>
      <c r="G20" t="s">
        <v>79</v>
      </c>
      <c r="H20" t="s">
        <v>80</v>
      </c>
      <c r="I20" t="s">
        <v>31</v>
      </c>
      <c r="J20" t="s">
        <v>50</v>
      </c>
      <c r="K20" t="s">
        <v>55</v>
      </c>
      <c r="L20" t="s">
        <v>44</v>
      </c>
      <c r="M20" t="s">
        <v>45</v>
      </c>
      <c r="N20">
        <v>5</v>
      </c>
      <c r="O20">
        <v>5</v>
      </c>
      <c r="P20">
        <v>5</v>
      </c>
      <c r="Q20">
        <v>5</v>
      </c>
      <c r="R20" t="s">
        <v>51</v>
      </c>
      <c r="S20">
        <v>4</v>
      </c>
      <c r="T20">
        <v>10</v>
      </c>
      <c r="U20" t="s">
        <v>35</v>
      </c>
      <c r="V20" t="s">
        <v>38</v>
      </c>
      <c r="W20" s="2">
        <v>46301.43472222222</v>
      </c>
      <c r="X20" t="s">
        <v>39</v>
      </c>
    </row>
    <row r="21" spans="1:24" x14ac:dyDescent="0.25">
      <c r="A21" t="s">
        <v>93</v>
      </c>
      <c r="B21" t="s">
        <v>76</v>
      </c>
      <c r="C21" t="s">
        <v>26</v>
      </c>
      <c r="D21" s="1">
        <v>46301</v>
      </c>
      <c r="E21" t="s">
        <v>77</v>
      </c>
      <c r="F21" t="s">
        <v>78</v>
      </c>
      <c r="G21" t="s">
        <v>83</v>
      </c>
      <c r="H21" t="s">
        <v>80</v>
      </c>
      <c r="I21" t="s">
        <v>31</v>
      </c>
      <c r="J21" t="s">
        <v>94</v>
      </c>
      <c r="K21" t="s">
        <v>55</v>
      </c>
      <c r="L21" t="s">
        <v>72</v>
      </c>
      <c r="M21" t="s">
        <v>45</v>
      </c>
      <c r="N21">
        <v>4</v>
      </c>
      <c r="O21">
        <v>5</v>
      </c>
      <c r="P21">
        <v>5</v>
      </c>
      <c r="Q21">
        <v>5</v>
      </c>
      <c r="R21" t="s">
        <v>51</v>
      </c>
      <c r="S21">
        <v>5</v>
      </c>
      <c r="T21">
        <v>8</v>
      </c>
      <c r="U21" t="s">
        <v>45</v>
      </c>
      <c r="V21" t="s">
        <v>95</v>
      </c>
      <c r="W21" s="2">
        <v>46301.539583333331</v>
      </c>
      <c r="X21" t="s">
        <v>39</v>
      </c>
    </row>
    <row r="22" spans="1:24" x14ac:dyDescent="0.25">
      <c r="A22" t="s">
        <v>96</v>
      </c>
      <c r="B22" t="s">
        <v>76</v>
      </c>
      <c r="C22" t="s">
        <v>26</v>
      </c>
      <c r="D22" s="1">
        <v>46301</v>
      </c>
      <c r="E22" t="s">
        <v>77</v>
      </c>
      <c r="F22" t="s">
        <v>78</v>
      </c>
      <c r="G22" t="s">
        <v>85</v>
      </c>
      <c r="H22" t="s">
        <v>80</v>
      </c>
      <c r="I22" t="s">
        <v>31</v>
      </c>
      <c r="J22" t="s">
        <v>64</v>
      </c>
      <c r="K22" t="s">
        <v>65</v>
      </c>
      <c r="L22" t="s">
        <v>67</v>
      </c>
      <c r="M22" t="s">
        <v>45</v>
      </c>
      <c r="N22">
        <v>4</v>
      </c>
      <c r="O22">
        <v>5</v>
      </c>
      <c r="P22">
        <v>4</v>
      </c>
      <c r="Q22">
        <v>5</v>
      </c>
      <c r="R22" t="s">
        <v>51</v>
      </c>
      <c r="S22">
        <v>5</v>
      </c>
      <c r="T22">
        <v>8</v>
      </c>
      <c r="U22" t="s">
        <v>45</v>
      </c>
      <c r="V22" t="s">
        <v>95</v>
      </c>
      <c r="W22" s="2">
        <v>46302.786111111112</v>
      </c>
      <c r="X22" t="s">
        <v>39</v>
      </c>
    </row>
    <row r="23" spans="1:24" x14ac:dyDescent="0.25">
      <c r="A23" t="s">
        <v>97</v>
      </c>
      <c r="B23" t="s">
        <v>76</v>
      </c>
      <c r="C23" t="s">
        <v>26</v>
      </c>
      <c r="D23" s="1">
        <v>46301</v>
      </c>
      <c r="E23" t="s">
        <v>77</v>
      </c>
      <c r="F23" t="s">
        <v>78</v>
      </c>
      <c r="G23" t="s">
        <v>83</v>
      </c>
      <c r="H23" t="s">
        <v>80</v>
      </c>
      <c r="I23" t="s">
        <v>31</v>
      </c>
      <c r="J23" t="s">
        <v>98</v>
      </c>
      <c r="K23" t="s">
        <v>33</v>
      </c>
      <c r="L23" t="s">
        <v>67</v>
      </c>
      <c r="M23" t="s">
        <v>35</v>
      </c>
      <c r="N23">
        <v>5</v>
      </c>
      <c r="P23">
        <v>5</v>
      </c>
      <c r="Q23">
        <v>5</v>
      </c>
      <c r="R23" t="s">
        <v>51</v>
      </c>
      <c r="S23">
        <v>5</v>
      </c>
      <c r="T23">
        <v>10</v>
      </c>
      <c r="U23" t="s">
        <v>37</v>
      </c>
      <c r="V23" t="s">
        <v>95</v>
      </c>
      <c r="W23" s="2">
        <v>46302.5625</v>
      </c>
      <c r="X23" t="s">
        <v>39</v>
      </c>
    </row>
    <row r="24" spans="1:24" x14ac:dyDescent="0.25">
      <c r="A24" t="s">
        <v>99</v>
      </c>
      <c r="B24" t="s">
        <v>76</v>
      </c>
      <c r="C24" t="s">
        <v>26</v>
      </c>
      <c r="D24" s="1">
        <v>46301</v>
      </c>
      <c r="E24" t="s">
        <v>77</v>
      </c>
      <c r="F24" t="s">
        <v>78</v>
      </c>
      <c r="G24" t="s">
        <v>83</v>
      </c>
      <c r="H24" t="s">
        <v>80</v>
      </c>
      <c r="I24" t="s">
        <v>31</v>
      </c>
      <c r="J24" t="s">
        <v>50</v>
      </c>
      <c r="K24" t="s">
        <v>33</v>
      </c>
      <c r="L24" t="s">
        <v>44</v>
      </c>
      <c r="M24" t="s">
        <v>35</v>
      </c>
      <c r="N24">
        <v>5</v>
      </c>
      <c r="O24">
        <v>5</v>
      </c>
      <c r="P24">
        <v>5</v>
      </c>
      <c r="Q24">
        <v>5</v>
      </c>
      <c r="R24" t="s">
        <v>51</v>
      </c>
      <c r="S24">
        <v>4</v>
      </c>
      <c r="T24">
        <v>10</v>
      </c>
      <c r="U24" t="s">
        <v>35</v>
      </c>
      <c r="W24" s="2">
        <v>46302.490972222222</v>
      </c>
      <c r="X24" t="s">
        <v>39</v>
      </c>
    </row>
    <row r="25" spans="1:24" x14ac:dyDescent="0.25">
      <c r="A25" t="s">
        <v>100</v>
      </c>
      <c r="B25" t="s">
        <v>101</v>
      </c>
      <c r="C25" t="s">
        <v>26</v>
      </c>
      <c r="D25" s="1">
        <v>46302</v>
      </c>
      <c r="E25" t="s">
        <v>102</v>
      </c>
      <c r="F25" t="s">
        <v>103</v>
      </c>
      <c r="G25" t="s">
        <v>104</v>
      </c>
      <c r="H25" t="s">
        <v>105</v>
      </c>
      <c r="I25" t="s">
        <v>31</v>
      </c>
      <c r="J25" t="s">
        <v>98</v>
      </c>
      <c r="K25" t="s">
        <v>43</v>
      </c>
      <c r="L25" t="s">
        <v>58</v>
      </c>
      <c r="M25" t="s">
        <v>45</v>
      </c>
      <c r="N25">
        <v>3</v>
      </c>
      <c r="O25">
        <v>4</v>
      </c>
      <c r="P25">
        <v>4</v>
      </c>
      <c r="Q25">
        <v>4</v>
      </c>
      <c r="R25" t="s">
        <v>36</v>
      </c>
      <c r="S25">
        <v>4</v>
      </c>
      <c r="T25">
        <v>7</v>
      </c>
      <c r="U25" t="s">
        <v>35</v>
      </c>
      <c r="W25" s="2">
        <v>46303.306944444441</v>
      </c>
      <c r="X25" t="s">
        <v>39</v>
      </c>
    </row>
    <row r="26" spans="1:24" x14ac:dyDescent="0.25">
      <c r="A26" t="s">
        <v>106</v>
      </c>
      <c r="B26" t="s">
        <v>101</v>
      </c>
      <c r="C26" t="s">
        <v>26</v>
      </c>
      <c r="D26" s="1">
        <v>46302</v>
      </c>
      <c r="E26" t="s">
        <v>102</v>
      </c>
      <c r="F26" t="s">
        <v>103</v>
      </c>
      <c r="G26" t="s">
        <v>104</v>
      </c>
      <c r="H26" t="s">
        <v>105</v>
      </c>
      <c r="I26" t="s">
        <v>31</v>
      </c>
      <c r="J26" t="s">
        <v>107</v>
      </c>
      <c r="K26" t="s">
        <v>33</v>
      </c>
      <c r="L26" t="s">
        <v>58</v>
      </c>
      <c r="M26" t="s">
        <v>35</v>
      </c>
      <c r="N26">
        <v>2</v>
      </c>
      <c r="O26">
        <v>3</v>
      </c>
      <c r="P26">
        <v>3</v>
      </c>
      <c r="Q26">
        <v>3</v>
      </c>
      <c r="R26" t="s">
        <v>46</v>
      </c>
      <c r="S26">
        <v>5</v>
      </c>
      <c r="T26">
        <v>4</v>
      </c>
      <c r="U26" t="s">
        <v>35</v>
      </c>
      <c r="V26" t="s">
        <v>108</v>
      </c>
      <c r="W26" s="2">
        <v>46303.645138888889</v>
      </c>
      <c r="X26" t="s">
        <v>39</v>
      </c>
    </row>
    <row r="27" spans="1:24" x14ac:dyDescent="0.25">
      <c r="A27" t="s">
        <v>109</v>
      </c>
      <c r="B27" t="s">
        <v>101</v>
      </c>
      <c r="C27" t="s">
        <v>26</v>
      </c>
      <c r="D27" s="1">
        <v>46302</v>
      </c>
      <c r="E27" t="s">
        <v>102</v>
      </c>
      <c r="F27" t="s">
        <v>103</v>
      </c>
      <c r="G27" t="s">
        <v>110</v>
      </c>
      <c r="H27" t="s">
        <v>105</v>
      </c>
      <c r="I27" t="s">
        <v>31</v>
      </c>
      <c r="J27" t="s">
        <v>32</v>
      </c>
      <c r="K27" t="s">
        <v>43</v>
      </c>
      <c r="L27" t="s">
        <v>44</v>
      </c>
      <c r="M27" t="s">
        <v>45</v>
      </c>
      <c r="N27">
        <v>3</v>
      </c>
      <c r="O27">
        <v>3</v>
      </c>
      <c r="P27">
        <v>3</v>
      </c>
      <c r="Q27">
        <v>3</v>
      </c>
      <c r="R27" t="s">
        <v>51</v>
      </c>
      <c r="S27">
        <v>4</v>
      </c>
      <c r="T27">
        <v>7</v>
      </c>
      <c r="U27" t="s">
        <v>45</v>
      </c>
      <c r="V27" t="s">
        <v>47</v>
      </c>
      <c r="W27" s="2">
        <v>46302.71597222222</v>
      </c>
      <c r="X27" t="s">
        <v>39</v>
      </c>
    </row>
    <row r="28" spans="1:24" x14ac:dyDescent="0.25">
      <c r="A28" t="s">
        <v>111</v>
      </c>
      <c r="B28" t="s">
        <v>101</v>
      </c>
      <c r="C28" t="s">
        <v>26</v>
      </c>
      <c r="D28" s="1">
        <v>46302</v>
      </c>
      <c r="E28" t="s">
        <v>102</v>
      </c>
      <c r="F28" t="s">
        <v>103</v>
      </c>
      <c r="G28" t="s">
        <v>112</v>
      </c>
      <c r="H28" t="s">
        <v>105</v>
      </c>
      <c r="I28" t="s">
        <v>31</v>
      </c>
      <c r="J28" t="s">
        <v>86</v>
      </c>
      <c r="K28" t="s">
        <v>33</v>
      </c>
      <c r="L28" t="s">
        <v>34</v>
      </c>
      <c r="M28" t="s">
        <v>45</v>
      </c>
      <c r="N28">
        <v>4</v>
      </c>
      <c r="O28">
        <v>4</v>
      </c>
      <c r="P28">
        <v>4</v>
      </c>
      <c r="Q28">
        <v>3</v>
      </c>
      <c r="R28" t="s">
        <v>51</v>
      </c>
      <c r="S28">
        <v>5</v>
      </c>
      <c r="T28">
        <v>9</v>
      </c>
      <c r="U28" t="s">
        <v>37</v>
      </c>
      <c r="V28" t="s">
        <v>74</v>
      </c>
      <c r="W28" s="2">
        <v>46303.789583333331</v>
      </c>
      <c r="X28" t="s">
        <v>39</v>
      </c>
    </row>
    <row r="29" spans="1:24" x14ac:dyDescent="0.25">
      <c r="A29" t="s">
        <v>113</v>
      </c>
      <c r="B29" t="s">
        <v>101</v>
      </c>
      <c r="C29" t="s">
        <v>26</v>
      </c>
      <c r="D29" s="1">
        <v>46302</v>
      </c>
      <c r="E29" t="s">
        <v>102</v>
      </c>
      <c r="F29" t="s">
        <v>103</v>
      </c>
      <c r="G29" t="s">
        <v>112</v>
      </c>
      <c r="H29" t="s">
        <v>105</v>
      </c>
      <c r="I29" t="s">
        <v>31</v>
      </c>
      <c r="J29" t="s">
        <v>50</v>
      </c>
      <c r="K29" t="s">
        <v>33</v>
      </c>
      <c r="L29" t="s">
        <v>44</v>
      </c>
      <c r="M29" t="s">
        <v>45</v>
      </c>
      <c r="N29">
        <v>5</v>
      </c>
      <c r="O29">
        <v>5</v>
      </c>
      <c r="P29">
        <v>4</v>
      </c>
      <c r="Q29">
        <v>5</v>
      </c>
      <c r="R29" t="s">
        <v>51</v>
      </c>
      <c r="S29">
        <v>5</v>
      </c>
      <c r="T29">
        <v>8</v>
      </c>
      <c r="U29" t="s">
        <v>45</v>
      </c>
      <c r="W29" s="2">
        <v>46304.584027777775</v>
      </c>
      <c r="X29" t="s">
        <v>39</v>
      </c>
    </row>
    <row r="30" spans="1:24" x14ac:dyDescent="0.25">
      <c r="A30" t="s">
        <v>114</v>
      </c>
      <c r="B30" t="s">
        <v>101</v>
      </c>
      <c r="C30" t="s">
        <v>26</v>
      </c>
      <c r="D30" s="1">
        <v>46302</v>
      </c>
      <c r="E30" t="s">
        <v>102</v>
      </c>
      <c r="F30" t="s">
        <v>103</v>
      </c>
      <c r="G30" t="s">
        <v>110</v>
      </c>
      <c r="H30" t="s">
        <v>105</v>
      </c>
      <c r="I30" t="s">
        <v>31</v>
      </c>
      <c r="J30" t="s">
        <v>107</v>
      </c>
      <c r="K30" t="s">
        <v>43</v>
      </c>
      <c r="L30" t="s">
        <v>44</v>
      </c>
      <c r="M30" t="s">
        <v>35</v>
      </c>
      <c r="N30">
        <v>4</v>
      </c>
      <c r="O30">
        <v>5</v>
      </c>
      <c r="P30">
        <v>4</v>
      </c>
      <c r="Q30">
        <v>4</v>
      </c>
      <c r="R30" t="s">
        <v>36</v>
      </c>
      <c r="S30">
        <v>5</v>
      </c>
      <c r="T30">
        <v>7</v>
      </c>
      <c r="U30" t="s">
        <v>37</v>
      </c>
      <c r="W30" s="2">
        <v>46302.452777777777</v>
      </c>
      <c r="X30" t="s">
        <v>39</v>
      </c>
    </row>
    <row r="31" spans="1:24" x14ac:dyDescent="0.25">
      <c r="A31" t="s">
        <v>115</v>
      </c>
      <c r="B31" t="s">
        <v>101</v>
      </c>
      <c r="C31" t="s">
        <v>26</v>
      </c>
      <c r="D31" s="1">
        <v>46302</v>
      </c>
      <c r="E31" t="s">
        <v>102</v>
      </c>
      <c r="F31" t="s">
        <v>103</v>
      </c>
      <c r="G31" t="s">
        <v>110</v>
      </c>
      <c r="H31" t="s">
        <v>105</v>
      </c>
      <c r="I31" t="s">
        <v>31</v>
      </c>
      <c r="J31" t="s">
        <v>61</v>
      </c>
      <c r="K31" t="s">
        <v>33</v>
      </c>
      <c r="L31" t="s">
        <v>44</v>
      </c>
      <c r="M31" t="s">
        <v>45</v>
      </c>
      <c r="N31">
        <v>3</v>
      </c>
      <c r="O31">
        <v>4</v>
      </c>
      <c r="P31">
        <v>4</v>
      </c>
      <c r="Q31">
        <v>3</v>
      </c>
      <c r="R31" t="s">
        <v>51</v>
      </c>
      <c r="S31">
        <v>4</v>
      </c>
      <c r="T31">
        <v>6</v>
      </c>
      <c r="U31" t="s">
        <v>45</v>
      </c>
      <c r="V31" t="s">
        <v>91</v>
      </c>
      <c r="W31" s="2">
        <v>46302.420138888891</v>
      </c>
      <c r="X31" t="s">
        <v>39</v>
      </c>
    </row>
    <row r="32" spans="1:24" x14ac:dyDescent="0.25">
      <c r="A32" t="s">
        <v>116</v>
      </c>
      <c r="B32" t="s">
        <v>101</v>
      </c>
      <c r="C32" t="s">
        <v>26</v>
      </c>
      <c r="D32" s="1">
        <v>46302</v>
      </c>
      <c r="E32" t="s">
        <v>102</v>
      </c>
      <c r="F32" t="s">
        <v>103</v>
      </c>
      <c r="G32" t="s">
        <v>110</v>
      </c>
      <c r="H32" t="s">
        <v>105</v>
      </c>
      <c r="I32" t="s">
        <v>31</v>
      </c>
      <c r="J32" t="s">
        <v>98</v>
      </c>
      <c r="K32" t="s">
        <v>33</v>
      </c>
      <c r="L32" t="s">
        <v>67</v>
      </c>
      <c r="M32" t="s">
        <v>45</v>
      </c>
      <c r="N32">
        <v>4</v>
      </c>
      <c r="O32">
        <v>5</v>
      </c>
      <c r="P32">
        <v>5</v>
      </c>
      <c r="Q32">
        <v>4</v>
      </c>
      <c r="R32" t="s">
        <v>51</v>
      </c>
      <c r="S32">
        <v>5</v>
      </c>
      <c r="T32">
        <v>8</v>
      </c>
      <c r="U32" t="s">
        <v>45</v>
      </c>
      <c r="W32" s="2">
        <v>46303.279861111114</v>
      </c>
      <c r="X32" t="s">
        <v>39</v>
      </c>
    </row>
    <row r="33" spans="1:24" x14ac:dyDescent="0.25">
      <c r="A33" t="s">
        <v>117</v>
      </c>
      <c r="B33" t="s">
        <v>101</v>
      </c>
      <c r="C33" t="s">
        <v>26</v>
      </c>
      <c r="D33" s="1">
        <v>46302</v>
      </c>
      <c r="E33" t="s">
        <v>102</v>
      </c>
      <c r="F33" t="s">
        <v>103</v>
      </c>
      <c r="G33" t="s">
        <v>104</v>
      </c>
      <c r="H33" t="s">
        <v>105</v>
      </c>
      <c r="I33" t="s">
        <v>31</v>
      </c>
      <c r="J33" t="s">
        <v>86</v>
      </c>
      <c r="K33" t="s">
        <v>65</v>
      </c>
      <c r="L33" t="s">
        <v>34</v>
      </c>
      <c r="M33" t="s">
        <v>45</v>
      </c>
      <c r="N33">
        <v>4</v>
      </c>
      <c r="O33">
        <v>4</v>
      </c>
      <c r="P33">
        <v>5</v>
      </c>
      <c r="Q33">
        <v>4</v>
      </c>
      <c r="R33" t="s">
        <v>51</v>
      </c>
      <c r="S33">
        <v>4</v>
      </c>
      <c r="T33">
        <v>8</v>
      </c>
      <c r="U33" t="s">
        <v>37</v>
      </c>
      <c r="V33" t="s">
        <v>95</v>
      </c>
      <c r="W33" s="2">
        <v>46302.531944444447</v>
      </c>
      <c r="X33" t="s">
        <v>39</v>
      </c>
    </row>
    <row r="34" spans="1:24" x14ac:dyDescent="0.25">
      <c r="A34" t="s">
        <v>118</v>
      </c>
      <c r="B34" t="s">
        <v>101</v>
      </c>
      <c r="C34" t="s">
        <v>26</v>
      </c>
      <c r="D34" s="1">
        <v>46302</v>
      </c>
      <c r="E34" t="s">
        <v>102</v>
      </c>
      <c r="F34" t="s">
        <v>103</v>
      </c>
      <c r="G34" t="s">
        <v>104</v>
      </c>
      <c r="H34" t="s">
        <v>105</v>
      </c>
      <c r="I34" t="s">
        <v>31</v>
      </c>
      <c r="J34" t="s">
        <v>50</v>
      </c>
      <c r="K34" t="s">
        <v>55</v>
      </c>
      <c r="L34" t="s">
        <v>72</v>
      </c>
      <c r="M34" t="s">
        <v>45</v>
      </c>
      <c r="N34">
        <v>4</v>
      </c>
      <c r="O34">
        <v>4</v>
      </c>
      <c r="P34">
        <v>4</v>
      </c>
      <c r="Q34">
        <v>5</v>
      </c>
      <c r="R34" t="s">
        <v>51</v>
      </c>
      <c r="S34">
        <v>3</v>
      </c>
      <c r="T34">
        <v>9</v>
      </c>
      <c r="U34" t="s">
        <v>37</v>
      </c>
      <c r="V34" t="s">
        <v>38</v>
      </c>
      <c r="W34" s="2">
        <v>46303.567361111112</v>
      </c>
      <c r="X34" t="s">
        <v>39</v>
      </c>
    </row>
    <row r="35" spans="1:24" x14ac:dyDescent="0.25">
      <c r="A35" t="s">
        <v>119</v>
      </c>
      <c r="B35" t="s">
        <v>101</v>
      </c>
      <c r="C35" t="s">
        <v>26</v>
      </c>
      <c r="D35" s="1">
        <v>46302</v>
      </c>
      <c r="E35" t="s">
        <v>102</v>
      </c>
      <c r="F35" t="s">
        <v>103</v>
      </c>
      <c r="G35" t="s">
        <v>112</v>
      </c>
      <c r="H35" t="s">
        <v>105</v>
      </c>
      <c r="I35" t="s">
        <v>31</v>
      </c>
      <c r="J35" t="s">
        <v>32</v>
      </c>
      <c r="K35" t="s">
        <v>43</v>
      </c>
      <c r="L35" t="s">
        <v>44</v>
      </c>
      <c r="M35" t="s">
        <v>35</v>
      </c>
      <c r="N35">
        <v>5</v>
      </c>
      <c r="O35">
        <v>5</v>
      </c>
      <c r="P35">
        <v>4</v>
      </c>
      <c r="Q35">
        <v>4</v>
      </c>
      <c r="R35" t="s">
        <v>51</v>
      </c>
      <c r="S35">
        <v>3</v>
      </c>
      <c r="T35">
        <v>10</v>
      </c>
      <c r="U35" t="s">
        <v>45</v>
      </c>
      <c r="V35" t="s">
        <v>95</v>
      </c>
      <c r="W35" s="2">
        <v>46302.661805555559</v>
      </c>
      <c r="X35" t="s">
        <v>39</v>
      </c>
    </row>
    <row r="36" spans="1:24" x14ac:dyDescent="0.25">
      <c r="A36" t="s">
        <v>120</v>
      </c>
      <c r="B36" t="s">
        <v>101</v>
      </c>
      <c r="C36" t="s">
        <v>26</v>
      </c>
      <c r="D36" s="1">
        <v>46302</v>
      </c>
      <c r="E36" t="s">
        <v>102</v>
      </c>
      <c r="F36" t="s">
        <v>103</v>
      </c>
      <c r="G36" t="s">
        <v>110</v>
      </c>
      <c r="H36" t="s">
        <v>105</v>
      </c>
      <c r="I36" t="s">
        <v>31</v>
      </c>
      <c r="J36" t="s">
        <v>42</v>
      </c>
      <c r="K36" t="s">
        <v>43</v>
      </c>
      <c r="L36" t="s">
        <v>67</v>
      </c>
      <c r="M36" t="s">
        <v>45</v>
      </c>
      <c r="N36">
        <v>3</v>
      </c>
      <c r="O36">
        <v>3</v>
      </c>
      <c r="P36">
        <v>5</v>
      </c>
      <c r="Q36">
        <v>4</v>
      </c>
      <c r="R36" t="s">
        <v>51</v>
      </c>
      <c r="S36">
        <v>4</v>
      </c>
      <c r="T36">
        <v>8</v>
      </c>
      <c r="U36" t="s">
        <v>37</v>
      </c>
      <c r="V36" t="s">
        <v>121</v>
      </c>
      <c r="W36" s="2">
        <v>46303.296527777777</v>
      </c>
      <c r="X36" t="s">
        <v>39</v>
      </c>
    </row>
    <row r="37" spans="1:24" x14ac:dyDescent="0.25">
      <c r="A37" t="s">
        <v>122</v>
      </c>
      <c r="B37" t="s">
        <v>123</v>
      </c>
      <c r="C37" t="s">
        <v>124</v>
      </c>
      <c r="D37" s="1">
        <v>46304</v>
      </c>
      <c r="E37" t="s">
        <v>27</v>
      </c>
      <c r="F37" t="s">
        <v>28</v>
      </c>
      <c r="G37" t="s">
        <v>41</v>
      </c>
      <c r="H37" t="s">
        <v>30</v>
      </c>
      <c r="I37" t="s">
        <v>31</v>
      </c>
      <c r="J37" t="s">
        <v>64</v>
      </c>
      <c r="K37" t="s">
        <v>43</v>
      </c>
      <c r="L37" t="s">
        <v>67</v>
      </c>
      <c r="M37" t="s">
        <v>45</v>
      </c>
      <c r="N37">
        <v>5</v>
      </c>
      <c r="O37">
        <v>4</v>
      </c>
      <c r="P37">
        <v>5</v>
      </c>
      <c r="Q37">
        <v>3</v>
      </c>
      <c r="R37" t="s">
        <v>51</v>
      </c>
      <c r="S37">
        <v>4</v>
      </c>
      <c r="T37">
        <v>7</v>
      </c>
      <c r="U37" t="s">
        <v>37</v>
      </c>
      <c r="V37" t="s">
        <v>125</v>
      </c>
      <c r="W37" s="2">
        <v>46304.552777777775</v>
      </c>
      <c r="X37" t="s">
        <v>39</v>
      </c>
    </row>
    <row r="38" spans="1:24" x14ac:dyDescent="0.25">
      <c r="A38" t="s">
        <v>126</v>
      </c>
      <c r="B38" t="s">
        <v>123</v>
      </c>
      <c r="C38" t="s">
        <v>124</v>
      </c>
      <c r="D38" s="1">
        <v>46304</v>
      </c>
      <c r="E38" t="s">
        <v>27</v>
      </c>
      <c r="F38" t="s">
        <v>28</v>
      </c>
      <c r="G38" t="s">
        <v>49</v>
      </c>
      <c r="H38" t="s">
        <v>30</v>
      </c>
      <c r="I38" t="s">
        <v>31</v>
      </c>
      <c r="J38" t="s">
        <v>71</v>
      </c>
      <c r="K38" t="s">
        <v>43</v>
      </c>
      <c r="L38" t="s">
        <v>34</v>
      </c>
      <c r="M38" t="s">
        <v>45</v>
      </c>
      <c r="N38">
        <v>5</v>
      </c>
      <c r="O38">
        <v>5</v>
      </c>
      <c r="P38">
        <v>4</v>
      </c>
      <c r="Q38">
        <v>4</v>
      </c>
      <c r="R38" t="s">
        <v>51</v>
      </c>
      <c r="S38">
        <v>3</v>
      </c>
      <c r="T38">
        <v>8</v>
      </c>
      <c r="U38" t="s">
        <v>45</v>
      </c>
      <c r="V38" t="s">
        <v>95</v>
      </c>
      <c r="W38" s="2">
        <v>46304.465277777781</v>
      </c>
      <c r="X38" t="s">
        <v>39</v>
      </c>
    </row>
    <row r="39" spans="1:24" x14ac:dyDescent="0.25">
      <c r="A39" t="s">
        <v>127</v>
      </c>
      <c r="B39" t="s">
        <v>123</v>
      </c>
      <c r="C39" t="s">
        <v>124</v>
      </c>
      <c r="D39" s="1">
        <v>46304</v>
      </c>
      <c r="E39" t="s">
        <v>27</v>
      </c>
      <c r="F39" t="s">
        <v>28</v>
      </c>
      <c r="G39" t="s">
        <v>49</v>
      </c>
      <c r="H39" t="s">
        <v>30</v>
      </c>
      <c r="I39" t="s">
        <v>31</v>
      </c>
      <c r="J39" t="s">
        <v>128</v>
      </c>
      <c r="K39" t="s">
        <v>43</v>
      </c>
      <c r="L39" t="s">
        <v>72</v>
      </c>
      <c r="M39" t="s">
        <v>45</v>
      </c>
      <c r="N39">
        <v>1</v>
      </c>
      <c r="O39">
        <v>2</v>
      </c>
      <c r="P39">
        <v>3</v>
      </c>
      <c r="Q39">
        <v>2</v>
      </c>
      <c r="R39" t="s">
        <v>51</v>
      </c>
      <c r="S39">
        <v>1</v>
      </c>
      <c r="T39">
        <v>5</v>
      </c>
      <c r="U39" t="s">
        <v>35</v>
      </c>
      <c r="V39" t="s">
        <v>56</v>
      </c>
      <c r="W39" s="2">
        <v>46306.563888888886</v>
      </c>
      <c r="X39" t="s">
        <v>39</v>
      </c>
    </row>
    <row r="40" spans="1:24" x14ac:dyDescent="0.25">
      <c r="A40" t="s">
        <v>129</v>
      </c>
      <c r="B40" t="s">
        <v>123</v>
      </c>
      <c r="C40" t="s">
        <v>124</v>
      </c>
      <c r="D40" s="1">
        <v>46304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86</v>
      </c>
      <c r="K40" t="s">
        <v>43</v>
      </c>
      <c r="L40" t="s">
        <v>67</v>
      </c>
      <c r="M40" t="s">
        <v>45</v>
      </c>
      <c r="N40">
        <v>2</v>
      </c>
      <c r="O40">
        <v>3</v>
      </c>
      <c r="P40">
        <v>3</v>
      </c>
      <c r="Q40">
        <v>3</v>
      </c>
      <c r="R40" t="s">
        <v>36</v>
      </c>
      <c r="S40">
        <v>5</v>
      </c>
      <c r="T40">
        <v>6</v>
      </c>
      <c r="U40" t="s">
        <v>45</v>
      </c>
      <c r="V40" t="s">
        <v>130</v>
      </c>
      <c r="W40" s="2">
        <v>46305.277777777781</v>
      </c>
      <c r="X40" t="s">
        <v>39</v>
      </c>
    </row>
    <row r="41" spans="1:24" x14ac:dyDescent="0.25">
      <c r="A41" t="s">
        <v>131</v>
      </c>
      <c r="B41" t="s">
        <v>123</v>
      </c>
      <c r="C41" t="s">
        <v>124</v>
      </c>
      <c r="D41" s="1">
        <v>46304</v>
      </c>
      <c r="E41" t="s">
        <v>27</v>
      </c>
      <c r="F41" t="s">
        <v>28</v>
      </c>
      <c r="G41" t="s">
        <v>132</v>
      </c>
      <c r="H41" t="s">
        <v>30</v>
      </c>
      <c r="I41" t="s">
        <v>31</v>
      </c>
      <c r="J41" t="s">
        <v>64</v>
      </c>
      <c r="K41" t="s">
        <v>55</v>
      </c>
      <c r="L41" t="s">
        <v>58</v>
      </c>
      <c r="M41" t="s">
        <v>35</v>
      </c>
      <c r="N41">
        <v>5</v>
      </c>
      <c r="O41">
        <v>4</v>
      </c>
      <c r="P41">
        <v>5</v>
      </c>
      <c r="Q41">
        <v>5</v>
      </c>
      <c r="R41" t="s">
        <v>36</v>
      </c>
      <c r="S41">
        <v>5</v>
      </c>
      <c r="T41">
        <v>8</v>
      </c>
      <c r="U41" t="s">
        <v>45</v>
      </c>
      <c r="V41" t="s">
        <v>95</v>
      </c>
      <c r="W41" s="2">
        <v>46304.677083333336</v>
      </c>
      <c r="X41" t="s">
        <v>39</v>
      </c>
    </row>
    <row r="42" spans="1:24" x14ac:dyDescent="0.25">
      <c r="A42" t="s">
        <v>133</v>
      </c>
      <c r="B42" t="s">
        <v>123</v>
      </c>
      <c r="C42" t="s">
        <v>124</v>
      </c>
      <c r="D42" s="1">
        <v>46304</v>
      </c>
      <c r="E42" t="s">
        <v>27</v>
      </c>
      <c r="F42" t="s">
        <v>28</v>
      </c>
      <c r="G42" t="s">
        <v>49</v>
      </c>
      <c r="H42" t="s">
        <v>30</v>
      </c>
      <c r="I42" t="s">
        <v>31</v>
      </c>
      <c r="J42" t="s">
        <v>32</v>
      </c>
      <c r="K42" t="s">
        <v>65</v>
      </c>
      <c r="L42" t="s">
        <v>72</v>
      </c>
      <c r="M42" t="s">
        <v>45</v>
      </c>
      <c r="N42">
        <v>3</v>
      </c>
      <c r="O42">
        <v>2</v>
      </c>
      <c r="P42">
        <v>2</v>
      </c>
      <c r="Q42">
        <v>2</v>
      </c>
      <c r="R42" t="s">
        <v>51</v>
      </c>
      <c r="S42">
        <v>3</v>
      </c>
      <c r="T42">
        <v>5</v>
      </c>
      <c r="U42" t="s">
        <v>45</v>
      </c>
      <c r="V42" t="s">
        <v>134</v>
      </c>
      <c r="W42" s="2">
        <v>46304.469444444447</v>
      </c>
      <c r="X42" t="s">
        <v>39</v>
      </c>
    </row>
    <row r="43" spans="1:24" x14ac:dyDescent="0.25">
      <c r="A43" t="s">
        <v>135</v>
      </c>
      <c r="B43" t="s">
        <v>123</v>
      </c>
      <c r="C43" t="s">
        <v>124</v>
      </c>
      <c r="D43" s="1">
        <v>46304</v>
      </c>
      <c r="E43" t="s">
        <v>27</v>
      </c>
      <c r="F43" t="s">
        <v>28</v>
      </c>
      <c r="G43" t="s">
        <v>49</v>
      </c>
      <c r="H43" t="s">
        <v>30</v>
      </c>
      <c r="I43" t="s">
        <v>31</v>
      </c>
      <c r="J43" t="s">
        <v>94</v>
      </c>
      <c r="K43" t="s">
        <v>65</v>
      </c>
      <c r="L43" t="s">
        <v>44</v>
      </c>
      <c r="M43" t="s">
        <v>45</v>
      </c>
      <c r="N43">
        <v>5</v>
      </c>
      <c r="O43">
        <v>5</v>
      </c>
      <c r="P43">
        <v>4</v>
      </c>
      <c r="Q43">
        <v>4</v>
      </c>
      <c r="R43" t="s">
        <v>51</v>
      </c>
      <c r="S43">
        <v>3</v>
      </c>
      <c r="T43">
        <v>10</v>
      </c>
      <c r="U43" t="s">
        <v>45</v>
      </c>
      <c r="V43" t="s">
        <v>62</v>
      </c>
      <c r="W43" s="2">
        <v>46306.617361111108</v>
      </c>
      <c r="X43" t="s">
        <v>39</v>
      </c>
    </row>
    <row r="44" spans="1:24" x14ac:dyDescent="0.25">
      <c r="A44" t="s">
        <v>136</v>
      </c>
      <c r="B44" t="s">
        <v>123</v>
      </c>
      <c r="C44" t="s">
        <v>124</v>
      </c>
      <c r="D44" s="1">
        <v>46304</v>
      </c>
      <c r="E44" t="s">
        <v>27</v>
      </c>
      <c r="F44" t="s">
        <v>28</v>
      </c>
      <c r="G44" t="s">
        <v>41</v>
      </c>
      <c r="H44" t="s">
        <v>30</v>
      </c>
      <c r="I44" t="s">
        <v>31</v>
      </c>
      <c r="J44" t="s">
        <v>128</v>
      </c>
      <c r="K44" t="s">
        <v>55</v>
      </c>
      <c r="L44" t="s">
        <v>34</v>
      </c>
      <c r="M44" t="s">
        <v>45</v>
      </c>
      <c r="N44">
        <v>4</v>
      </c>
      <c r="O44">
        <v>5</v>
      </c>
      <c r="P44">
        <v>4</v>
      </c>
      <c r="Q44">
        <v>4</v>
      </c>
      <c r="R44" t="s">
        <v>51</v>
      </c>
      <c r="S44">
        <v>4</v>
      </c>
      <c r="T44">
        <v>9</v>
      </c>
      <c r="U44" t="s">
        <v>35</v>
      </c>
      <c r="W44" s="2">
        <v>46304.472916666666</v>
      </c>
      <c r="X44" t="s">
        <v>39</v>
      </c>
    </row>
    <row r="45" spans="1:24" x14ac:dyDescent="0.25">
      <c r="A45" t="s">
        <v>137</v>
      </c>
      <c r="B45" t="s">
        <v>123</v>
      </c>
      <c r="C45" t="s">
        <v>124</v>
      </c>
      <c r="D45" s="1">
        <v>46304</v>
      </c>
      <c r="E45" t="s">
        <v>27</v>
      </c>
      <c r="F45" t="s">
        <v>28</v>
      </c>
      <c r="G45" t="s">
        <v>49</v>
      </c>
      <c r="H45" t="s">
        <v>30</v>
      </c>
      <c r="I45" t="s">
        <v>31</v>
      </c>
      <c r="J45" t="s">
        <v>81</v>
      </c>
      <c r="K45" t="s">
        <v>138</v>
      </c>
      <c r="L45" t="s">
        <v>44</v>
      </c>
      <c r="M45" t="s">
        <v>45</v>
      </c>
      <c r="N45">
        <v>2</v>
      </c>
      <c r="O45">
        <v>2</v>
      </c>
      <c r="P45">
        <v>2</v>
      </c>
      <c r="Q45">
        <v>1</v>
      </c>
      <c r="R45" t="s">
        <v>46</v>
      </c>
      <c r="S45">
        <v>2</v>
      </c>
      <c r="T45">
        <v>5</v>
      </c>
      <c r="U45" t="s">
        <v>37</v>
      </c>
      <c r="W45" s="2">
        <v>46304.441666666666</v>
      </c>
      <c r="X45" t="s">
        <v>39</v>
      </c>
    </row>
    <row r="46" spans="1:24" x14ac:dyDescent="0.25">
      <c r="A46" t="s">
        <v>139</v>
      </c>
      <c r="B46" t="s">
        <v>123</v>
      </c>
      <c r="C46" t="s">
        <v>124</v>
      </c>
      <c r="D46" s="1">
        <v>46304</v>
      </c>
      <c r="E46" t="s">
        <v>27</v>
      </c>
      <c r="F46" t="s">
        <v>28</v>
      </c>
      <c r="G46" t="s">
        <v>132</v>
      </c>
      <c r="H46" t="s">
        <v>30</v>
      </c>
      <c r="I46" t="s">
        <v>31</v>
      </c>
      <c r="J46" t="s">
        <v>98</v>
      </c>
      <c r="K46" t="s">
        <v>138</v>
      </c>
      <c r="L46" t="s">
        <v>58</v>
      </c>
      <c r="M46" t="s">
        <v>45</v>
      </c>
      <c r="N46">
        <v>3</v>
      </c>
      <c r="O46">
        <v>4</v>
      </c>
      <c r="P46">
        <v>5</v>
      </c>
      <c r="Q46">
        <v>5</v>
      </c>
      <c r="R46" t="s">
        <v>51</v>
      </c>
      <c r="S46">
        <v>5</v>
      </c>
      <c r="T46">
        <v>9</v>
      </c>
      <c r="U46" t="s">
        <v>45</v>
      </c>
      <c r="V46" t="s">
        <v>121</v>
      </c>
      <c r="W46" s="2">
        <v>46304.551388888889</v>
      </c>
      <c r="X46" t="s">
        <v>39</v>
      </c>
    </row>
    <row r="47" spans="1:24" x14ac:dyDescent="0.25">
      <c r="A47" t="s">
        <v>140</v>
      </c>
      <c r="B47" t="s">
        <v>123</v>
      </c>
      <c r="C47" t="s">
        <v>124</v>
      </c>
      <c r="D47" s="1">
        <v>46304</v>
      </c>
      <c r="E47" t="s">
        <v>27</v>
      </c>
      <c r="F47" t="s">
        <v>28</v>
      </c>
      <c r="G47" t="s">
        <v>54</v>
      </c>
      <c r="H47" t="s">
        <v>30</v>
      </c>
      <c r="I47" t="s">
        <v>31</v>
      </c>
      <c r="J47" t="s">
        <v>94</v>
      </c>
      <c r="K47" t="s">
        <v>43</v>
      </c>
      <c r="L47" t="s">
        <v>58</v>
      </c>
      <c r="M47" t="s">
        <v>45</v>
      </c>
      <c r="N47">
        <v>4</v>
      </c>
      <c r="O47">
        <v>4</v>
      </c>
      <c r="P47">
        <v>3</v>
      </c>
      <c r="Q47">
        <v>5</v>
      </c>
      <c r="R47" t="s">
        <v>51</v>
      </c>
      <c r="S47">
        <v>3</v>
      </c>
      <c r="T47">
        <v>8</v>
      </c>
      <c r="U47" t="s">
        <v>45</v>
      </c>
      <c r="W47" s="2">
        <v>46306.384722222225</v>
      </c>
      <c r="X47" t="s">
        <v>39</v>
      </c>
    </row>
    <row r="48" spans="1:24" x14ac:dyDescent="0.25">
      <c r="A48" t="s">
        <v>141</v>
      </c>
      <c r="B48" t="s">
        <v>123</v>
      </c>
      <c r="C48" t="s">
        <v>124</v>
      </c>
      <c r="D48" s="1">
        <v>46304</v>
      </c>
      <c r="E48" t="s">
        <v>27</v>
      </c>
      <c r="F48" t="s">
        <v>28</v>
      </c>
      <c r="G48" t="s">
        <v>41</v>
      </c>
      <c r="H48" t="s">
        <v>30</v>
      </c>
      <c r="I48" t="s">
        <v>31</v>
      </c>
      <c r="J48" t="s">
        <v>81</v>
      </c>
      <c r="K48" t="s">
        <v>43</v>
      </c>
      <c r="L48" t="s">
        <v>58</v>
      </c>
      <c r="M48" t="s">
        <v>45</v>
      </c>
      <c r="N48">
        <v>4</v>
      </c>
      <c r="O48">
        <v>4</v>
      </c>
      <c r="P48">
        <v>4</v>
      </c>
      <c r="Q48">
        <v>4</v>
      </c>
      <c r="R48" t="s">
        <v>51</v>
      </c>
      <c r="S48">
        <v>5</v>
      </c>
      <c r="T48">
        <v>8</v>
      </c>
      <c r="U48" t="s">
        <v>35</v>
      </c>
      <c r="V48" t="s">
        <v>95</v>
      </c>
      <c r="W48" s="2">
        <v>46304.426388888889</v>
      </c>
      <c r="X48" t="s">
        <v>39</v>
      </c>
    </row>
    <row r="49" spans="1:24" x14ac:dyDescent="0.25">
      <c r="A49" t="s">
        <v>142</v>
      </c>
      <c r="B49" t="s">
        <v>123</v>
      </c>
      <c r="C49" t="s">
        <v>124</v>
      </c>
      <c r="D49" s="1">
        <v>46304</v>
      </c>
      <c r="E49" t="s">
        <v>27</v>
      </c>
      <c r="F49" t="s">
        <v>28</v>
      </c>
      <c r="G49" t="s">
        <v>132</v>
      </c>
      <c r="H49" t="s">
        <v>30</v>
      </c>
      <c r="I49" t="s">
        <v>31</v>
      </c>
      <c r="J49" t="s">
        <v>98</v>
      </c>
      <c r="K49" t="s">
        <v>65</v>
      </c>
      <c r="L49" t="s">
        <v>58</v>
      </c>
      <c r="M49" t="s">
        <v>45</v>
      </c>
      <c r="N49">
        <v>3</v>
      </c>
      <c r="O49">
        <v>5</v>
      </c>
      <c r="Q49">
        <v>5</v>
      </c>
      <c r="R49" t="s">
        <v>36</v>
      </c>
      <c r="S49">
        <v>4</v>
      </c>
      <c r="T49">
        <v>8</v>
      </c>
      <c r="U49" t="s">
        <v>45</v>
      </c>
      <c r="V49" t="s">
        <v>52</v>
      </c>
      <c r="W49" s="2">
        <v>46304.714583333334</v>
      </c>
      <c r="X49" t="s">
        <v>39</v>
      </c>
    </row>
    <row r="50" spans="1:24" x14ac:dyDescent="0.25">
      <c r="A50" t="s">
        <v>143</v>
      </c>
      <c r="B50" t="s">
        <v>123</v>
      </c>
      <c r="C50" t="s">
        <v>124</v>
      </c>
      <c r="D50" s="1">
        <v>46304</v>
      </c>
      <c r="E50" t="s">
        <v>27</v>
      </c>
      <c r="F50" t="s">
        <v>28</v>
      </c>
      <c r="G50" t="s">
        <v>132</v>
      </c>
      <c r="H50" t="s">
        <v>30</v>
      </c>
      <c r="I50" t="s">
        <v>31</v>
      </c>
      <c r="J50" t="s">
        <v>128</v>
      </c>
      <c r="K50" t="s">
        <v>55</v>
      </c>
      <c r="L50" t="s">
        <v>72</v>
      </c>
      <c r="M50" t="s">
        <v>45</v>
      </c>
      <c r="N50">
        <v>3</v>
      </c>
      <c r="O50">
        <v>4</v>
      </c>
      <c r="P50">
        <v>4</v>
      </c>
      <c r="Q50">
        <v>4</v>
      </c>
      <c r="R50" t="s">
        <v>46</v>
      </c>
      <c r="S50">
        <v>4</v>
      </c>
      <c r="T50">
        <v>7</v>
      </c>
      <c r="U50" t="s">
        <v>45</v>
      </c>
      <c r="V50" t="s">
        <v>47</v>
      </c>
      <c r="W50" s="2">
        <v>46304.498611111114</v>
      </c>
      <c r="X50" t="s">
        <v>39</v>
      </c>
    </row>
    <row r="51" spans="1:24" x14ac:dyDescent="0.25">
      <c r="A51" t="s">
        <v>144</v>
      </c>
      <c r="B51" t="s">
        <v>123</v>
      </c>
      <c r="C51" t="s">
        <v>124</v>
      </c>
      <c r="D51" s="1">
        <v>46304</v>
      </c>
      <c r="E51" t="s">
        <v>27</v>
      </c>
      <c r="F51" t="s">
        <v>28</v>
      </c>
      <c r="G51" t="s">
        <v>49</v>
      </c>
      <c r="H51" t="s">
        <v>30</v>
      </c>
      <c r="I51" t="s">
        <v>31</v>
      </c>
      <c r="J51" t="s">
        <v>86</v>
      </c>
      <c r="K51" t="s">
        <v>65</v>
      </c>
      <c r="L51" t="s">
        <v>67</v>
      </c>
      <c r="M51" t="s">
        <v>45</v>
      </c>
      <c r="N51">
        <v>5</v>
      </c>
      <c r="O51">
        <v>5</v>
      </c>
      <c r="P51">
        <v>5</v>
      </c>
      <c r="Q51">
        <v>5</v>
      </c>
      <c r="R51" t="s">
        <v>51</v>
      </c>
      <c r="S51">
        <v>4</v>
      </c>
      <c r="T51">
        <v>10</v>
      </c>
      <c r="U51" t="s">
        <v>45</v>
      </c>
      <c r="V51" t="s">
        <v>38</v>
      </c>
      <c r="W51" s="2">
        <v>46304.529861111114</v>
      </c>
      <c r="X51" t="s">
        <v>39</v>
      </c>
    </row>
    <row r="52" spans="1:24" x14ac:dyDescent="0.25">
      <c r="A52" t="s">
        <v>145</v>
      </c>
      <c r="B52" t="s">
        <v>146</v>
      </c>
      <c r="C52" t="s">
        <v>124</v>
      </c>
      <c r="D52" s="1">
        <v>46307</v>
      </c>
      <c r="E52" t="s">
        <v>77</v>
      </c>
      <c r="F52" t="s">
        <v>78</v>
      </c>
      <c r="G52" t="s">
        <v>85</v>
      </c>
      <c r="H52" t="s">
        <v>80</v>
      </c>
      <c r="I52" t="s">
        <v>31</v>
      </c>
      <c r="J52" t="s">
        <v>98</v>
      </c>
      <c r="K52" t="s">
        <v>55</v>
      </c>
      <c r="L52" t="s">
        <v>72</v>
      </c>
      <c r="M52" t="s">
        <v>45</v>
      </c>
      <c r="N52">
        <v>4</v>
      </c>
      <c r="O52">
        <v>5</v>
      </c>
      <c r="P52">
        <v>4</v>
      </c>
      <c r="Q52">
        <v>4</v>
      </c>
      <c r="R52" t="s">
        <v>51</v>
      </c>
      <c r="S52">
        <v>4</v>
      </c>
      <c r="T52">
        <v>8</v>
      </c>
      <c r="U52" t="s">
        <v>37</v>
      </c>
      <c r="V52" t="s">
        <v>147</v>
      </c>
      <c r="W52" s="2">
        <v>46309.629166666666</v>
      </c>
      <c r="X52" t="s">
        <v>39</v>
      </c>
    </row>
    <row r="53" spans="1:24" x14ac:dyDescent="0.25">
      <c r="A53" t="s">
        <v>148</v>
      </c>
      <c r="B53" t="s">
        <v>146</v>
      </c>
      <c r="C53" t="s">
        <v>124</v>
      </c>
      <c r="D53" s="1">
        <v>46307</v>
      </c>
      <c r="E53" t="s">
        <v>77</v>
      </c>
      <c r="F53" t="s">
        <v>78</v>
      </c>
      <c r="G53" t="s">
        <v>85</v>
      </c>
      <c r="H53" t="s">
        <v>80</v>
      </c>
      <c r="I53" t="s">
        <v>31</v>
      </c>
      <c r="J53" t="s">
        <v>71</v>
      </c>
      <c r="K53" t="s">
        <v>65</v>
      </c>
      <c r="L53" t="s">
        <v>34</v>
      </c>
      <c r="M53" t="s">
        <v>45</v>
      </c>
      <c r="N53">
        <v>4</v>
      </c>
      <c r="O53">
        <v>5</v>
      </c>
      <c r="P53">
        <v>4</v>
      </c>
      <c r="Q53">
        <v>3</v>
      </c>
      <c r="R53" t="s">
        <v>46</v>
      </c>
      <c r="S53">
        <v>5</v>
      </c>
      <c r="T53">
        <v>6</v>
      </c>
      <c r="U53" t="s">
        <v>45</v>
      </c>
      <c r="V53" t="s">
        <v>62</v>
      </c>
      <c r="W53" s="2">
        <v>46309.572222222225</v>
      </c>
      <c r="X53" t="s">
        <v>39</v>
      </c>
    </row>
    <row r="54" spans="1:24" x14ac:dyDescent="0.25">
      <c r="A54" t="s">
        <v>149</v>
      </c>
      <c r="B54" t="s">
        <v>146</v>
      </c>
      <c r="C54" t="s">
        <v>124</v>
      </c>
      <c r="D54" s="1">
        <v>46307</v>
      </c>
      <c r="E54" t="s">
        <v>77</v>
      </c>
      <c r="F54" t="s">
        <v>78</v>
      </c>
      <c r="G54" t="s">
        <v>85</v>
      </c>
      <c r="H54" t="s">
        <v>80</v>
      </c>
      <c r="I54" t="s">
        <v>31</v>
      </c>
      <c r="J54" t="s">
        <v>50</v>
      </c>
      <c r="K54" t="s">
        <v>33</v>
      </c>
      <c r="L54" t="s">
        <v>58</v>
      </c>
      <c r="M54" t="s">
        <v>35</v>
      </c>
      <c r="N54">
        <v>4</v>
      </c>
      <c r="O54">
        <v>3</v>
      </c>
      <c r="P54">
        <v>4</v>
      </c>
      <c r="Q54">
        <v>3</v>
      </c>
      <c r="R54" t="s">
        <v>51</v>
      </c>
      <c r="S54">
        <v>5</v>
      </c>
      <c r="T54">
        <v>9</v>
      </c>
      <c r="U54" t="s">
        <v>45</v>
      </c>
      <c r="V54" t="s">
        <v>91</v>
      </c>
      <c r="W54" s="2">
        <v>46308.279861111114</v>
      </c>
      <c r="X54" t="s">
        <v>39</v>
      </c>
    </row>
    <row r="55" spans="1:24" x14ac:dyDescent="0.25">
      <c r="A55" t="s">
        <v>150</v>
      </c>
      <c r="B55" t="s">
        <v>146</v>
      </c>
      <c r="C55" t="s">
        <v>124</v>
      </c>
      <c r="D55" s="1">
        <v>46307</v>
      </c>
      <c r="E55" t="s">
        <v>77</v>
      </c>
      <c r="F55" t="s">
        <v>78</v>
      </c>
      <c r="G55" t="s">
        <v>83</v>
      </c>
      <c r="H55" t="s">
        <v>80</v>
      </c>
      <c r="I55" t="s">
        <v>31</v>
      </c>
      <c r="J55" t="s">
        <v>81</v>
      </c>
      <c r="K55" t="s">
        <v>138</v>
      </c>
      <c r="L55" t="s">
        <v>67</v>
      </c>
      <c r="M55" t="s">
        <v>45</v>
      </c>
      <c r="N55">
        <v>4</v>
      </c>
      <c r="O55">
        <v>4</v>
      </c>
      <c r="P55">
        <v>4</v>
      </c>
      <c r="Q55">
        <v>3</v>
      </c>
      <c r="R55" t="s">
        <v>51</v>
      </c>
      <c r="S55">
        <v>4</v>
      </c>
      <c r="T55">
        <v>6</v>
      </c>
      <c r="U55" t="s">
        <v>45</v>
      </c>
      <c r="V55" t="s">
        <v>95</v>
      </c>
      <c r="W55" s="2">
        <v>46307.723611111112</v>
      </c>
      <c r="X55" t="s">
        <v>39</v>
      </c>
    </row>
    <row r="56" spans="1:24" x14ac:dyDescent="0.25">
      <c r="A56" t="s">
        <v>151</v>
      </c>
      <c r="B56" t="s">
        <v>146</v>
      </c>
      <c r="C56" t="s">
        <v>124</v>
      </c>
      <c r="D56" s="1">
        <v>46307</v>
      </c>
      <c r="E56" t="s">
        <v>77</v>
      </c>
      <c r="F56" t="s">
        <v>78</v>
      </c>
      <c r="G56" t="s">
        <v>85</v>
      </c>
      <c r="H56" t="s">
        <v>80</v>
      </c>
      <c r="I56" t="s">
        <v>31</v>
      </c>
      <c r="J56" t="s">
        <v>128</v>
      </c>
      <c r="K56" t="s">
        <v>65</v>
      </c>
      <c r="L56" t="s">
        <v>34</v>
      </c>
      <c r="M56" t="s">
        <v>45</v>
      </c>
      <c r="N56">
        <v>5</v>
      </c>
      <c r="O56">
        <v>5</v>
      </c>
      <c r="P56">
        <v>5</v>
      </c>
      <c r="Q56">
        <v>5</v>
      </c>
      <c r="R56" t="s">
        <v>36</v>
      </c>
      <c r="S56">
        <v>4</v>
      </c>
      <c r="T56">
        <v>10</v>
      </c>
      <c r="U56" t="s">
        <v>37</v>
      </c>
      <c r="V56" t="s">
        <v>91</v>
      </c>
      <c r="W56" s="2">
        <v>46308.561805555553</v>
      </c>
      <c r="X56" t="s">
        <v>39</v>
      </c>
    </row>
    <row r="57" spans="1:24" x14ac:dyDescent="0.25">
      <c r="A57" t="s">
        <v>152</v>
      </c>
      <c r="B57" t="s">
        <v>146</v>
      </c>
      <c r="C57" t="s">
        <v>124</v>
      </c>
      <c r="D57" s="1">
        <v>46307</v>
      </c>
      <c r="E57" t="s">
        <v>77</v>
      </c>
      <c r="F57" t="s">
        <v>78</v>
      </c>
      <c r="G57" t="s">
        <v>85</v>
      </c>
      <c r="H57" t="s">
        <v>80</v>
      </c>
      <c r="I57" t="s">
        <v>31</v>
      </c>
      <c r="J57" t="s">
        <v>64</v>
      </c>
      <c r="K57" t="s">
        <v>55</v>
      </c>
      <c r="L57" t="s">
        <v>58</v>
      </c>
      <c r="M57" t="s">
        <v>45</v>
      </c>
      <c r="N57">
        <v>5</v>
      </c>
      <c r="O57">
        <v>4</v>
      </c>
      <c r="P57">
        <v>5</v>
      </c>
      <c r="Q57">
        <v>4</v>
      </c>
      <c r="R57" t="s">
        <v>51</v>
      </c>
      <c r="S57">
        <v>5</v>
      </c>
      <c r="T57">
        <v>10</v>
      </c>
      <c r="U57" t="s">
        <v>45</v>
      </c>
      <c r="V57" t="s">
        <v>147</v>
      </c>
      <c r="W57" s="2">
        <v>46308.759027777778</v>
      </c>
      <c r="X57" t="s">
        <v>39</v>
      </c>
    </row>
    <row r="58" spans="1:24" x14ac:dyDescent="0.25">
      <c r="A58" t="s">
        <v>153</v>
      </c>
      <c r="B58" t="s">
        <v>146</v>
      </c>
      <c r="C58" t="s">
        <v>124</v>
      </c>
      <c r="D58" s="1">
        <v>46307</v>
      </c>
      <c r="E58" t="s">
        <v>77</v>
      </c>
      <c r="F58" t="s">
        <v>78</v>
      </c>
      <c r="G58" t="s">
        <v>79</v>
      </c>
      <c r="H58" t="s">
        <v>80</v>
      </c>
      <c r="I58" t="s">
        <v>31</v>
      </c>
      <c r="J58" t="s">
        <v>32</v>
      </c>
      <c r="K58" t="s">
        <v>138</v>
      </c>
      <c r="L58" t="s">
        <v>58</v>
      </c>
      <c r="M58" t="s">
        <v>35</v>
      </c>
      <c r="N58">
        <v>3</v>
      </c>
      <c r="O58">
        <v>4</v>
      </c>
      <c r="P58">
        <v>4</v>
      </c>
      <c r="Q58">
        <v>4</v>
      </c>
      <c r="R58" t="s">
        <v>51</v>
      </c>
      <c r="S58">
        <v>4</v>
      </c>
      <c r="T58">
        <v>8</v>
      </c>
      <c r="U58" t="s">
        <v>45</v>
      </c>
      <c r="V58" t="s">
        <v>52</v>
      </c>
      <c r="W58" s="2">
        <v>46307.678472222222</v>
      </c>
      <c r="X58" t="s">
        <v>39</v>
      </c>
    </row>
    <row r="59" spans="1:24" x14ac:dyDescent="0.25">
      <c r="A59" t="s">
        <v>154</v>
      </c>
      <c r="B59" t="s">
        <v>146</v>
      </c>
      <c r="C59" t="s">
        <v>124</v>
      </c>
      <c r="D59" s="1">
        <v>46307</v>
      </c>
      <c r="E59" t="s">
        <v>77</v>
      </c>
      <c r="F59" t="s">
        <v>78</v>
      </c>
      <c r="G59" t="s">
        <v>79</v>
      </c>
      <c r="H59" t="s">
        <v>80</v>
      </c>
      <c r="I59" t="s">
        <v>31</v>
      </c>
      <c r="J59" t="s">
        <v>107</v>
      </c>
      <c r="K59" t="s">
        <v>43</v>
      </c>
      <c r="L59" t="s">
        <v>44</v>
      </c>
      <c r="M59" t="s">
        <v>45</v>
      </c>
      <c r="N59">
        <v>4</v>
      </c>
      <c r="O59">
        <v>4</v>
      </c>
      <c r="P59">
        <v>4</v>
      </c>
      <c r="Q59">
        <v>5</v>
      </c>
      <c r="R59" t="s">
        <v>46</v>
      </c>
      <c r="S59">
        <v>4</v>
      </c>
      <c r="T59">
        <v>8</v>
      </c>
      <c r="U59" t="s">
        <v>45</v>
      </c>
      <c r="V59" t="s">
        <v>147</v>
      </c>
      <c r="W59" s="2">
        <v>46307.738888888889</v>
      </c>
      <c r="X59" t="s">
        <v>39</v>
      </c>
    </row>
    <row r="60" spans="1:24" x14ac:dyDescent="0.25">
      <c r="A60" t="s">
        <v>155</v>
      </c>
      <c r="B60" t="s">
        <v>146</v>
      </c>
      <c r="C60" t="s">
        <v>124</v>
      </c>
      <c r="D60" s="1">
        <v>46307</v>
      </c>
      <c r="E60" t="s">
        <v>77</v>
      </c>
      <c r="F60" t="s">
        <v>78</v>
      </c>
      <c r="G60" t="s">
        <v>79</v>
      </c>
      <c r="H60" t="s">
        <v>80</v>
      </c>
      <c r="I60" t="s">
        <v>31</v>
      </c>
      <c r="J60" t="s">
        <v>86</v>
      </c>
      <c r="K60" t="s">
        <v>138</v>
      </c>
      <c r="L60" t="s">
        <v>44</v>
      </c>
      <c r="M60" t="s">
        <v>45</v>
      </c>
      <c r="N60">
        <v>4</v>
      </c>
      <c r="O60">
        <v>4</v>
      </c>
      <c r="P60">
        <v>4</v>
      </c>
      <c r="Q60">
        <v>3</v>
      </c>
      <c r="R60" t="s">
        <v>51</v>
      </c>
      <c r="S60">
        <v>5</v>
      </c>
      <c r="T60">
        <v>6</v>
      </c>
      <c r="U60" t="s">
        <v>37</v>
      </c>
      <c r="V60" t="s">
        <v>121</v>
      </c>
      <c r="W60" s="2">
        <v>46307.732638888891</v>
      </c>
      <c r="X60" t="s">
        <v>39</v>
      </c>
    </row>
    <row r="61" spans="1:24" x14ac:dyDescent="0.25">
      <c r="A61" t="s">
        <v>156</v>
      </c>
      <c r="B61" t="s">
        <v>146</v>
      </c>
      <c r="C61" t="s">
        <v>124</v>
      </c>
      <c r="D61" s="1">
        <v>46307</v>
      </c>
      <c r="E61" t="s">
        <v>77</v>
      </c>
      <c r="F61" t="s">
        <v>78</v>
      </c>
      <c r="G61" t="s">
        <v>83</v>
      </c>
      <c r="H61" t="s">
        <v>80</v>
      </c>
      <c r="I61" t="s">
        <v>31</v>
      </c>
      <c r="J61" t="s">
        <v>32</v>
      </c>
      <c r="K61" t="s">
        <v>43</v>
      </c>
      <c r="L61" t="s">
        <v>72</v>
      </c>
      <c r="M61" t="s">
        <v>45</v>
      </c>
      <c r="N61">
        <v>3</v>
      </c>
      <c r="O61">
        <v>4</v>
      </c>
      <c r="P61">
        <v>3</v>
      </c>
      <c r="Q61">
        <v>3</v>
      </c>
      <c r="R61" t="s">
        <v>51</v>
      </c>
      <c r="S61">
        <v>4</v>
      </c>
      <c r="T61">
        <v>5</v>
      </c>
      <c r="U61" t="s">
        <v>37</v>
      </c>
      <c r="V61" t="s">
        <v>130</v>
      </c>
      <c r="W61" s="2">
        <v>46308.520833333336</v>
      </c>
      <c r="X61" t="s">
        <v>39</v>
      </c>
    </row>
    <row r="62" spans="1:24" x14ac:dyDescent="0.25">
      <c r="A62" t="s">
        <v>157</v>
      </c>
      <c r="B62" t="s">
        <v>146</v>
      </c>
      <c r="C62" t="s">
        <v>124</v>
      </c>
      <c r="D62" s="1">
        <v>46307</v>
      </c>
      <c r="E62" t="s">
        <v>77</v>
      </c>
      <c r="F62" t="s">
        <v>78</v>
      </c>
      <c r="G62" t="s">
        <v>83</v>
      </c>
      <c r="H62" t="s">
        <v>80</v>
      </c>
      <c r="I62" t="s">
        <v>31</v>
      </c>
      <c r="J62" t="s">
        <v>94</v>
      </c>
      <c r="K62" t="s">
        <v>43</v>
      </c>
      <c r="L62" t="s">
        <v>58</v>
      </c>
      <c r="M62" t="s">
        <v>45</v>
      </c>
      <c r="N62">
        <v>4</v>
      </c>
      <c r="O62">
        <v>4</v>
      </c>
      <c r="P62">
        <v>3</v>
      </c>
      <c r="Q62">
        <v>4</v>
      </c>
      <c r="R62" t="s">
        <v>36</v>
      </c>
      <c r="S62">
        <v>3</v>
      </c>
      <c r="T62">
        <v>8</v>
      </c>
      <c r="U62" t="s">
        <v>37</v>
      </c>
      <c r="W62" s="2">
        <v>46307.612500000003</v>
      </c>
      <c r="X62" t="s">
        <v>39</v>
      </c>
    </row>
    <row r="63" spans="1:24" x14ac:dyDescent="0.25">
      <c r="A63" t="s">
        <v>158</v>
      </c>
      <c r="B63" t="s">
        <v>159</v>
      </c>
      <c r="C63" t="s">
        <v>124</v>
      </c>
      <c r="D63" s="1">
        <v>46307</v>
      </c>
      <c r="E63" t="s">
        <v>102</v>
      </c>
      <c r="F63" t="s">
        <v>103</v>
      </c>
      <c r="G63" t="s">
        <v>110</v>
      </c>
      <c r="H63" t="s">
        <v>105</v>
      </c>
      <c r="I63" t="s">
        <v>31</v>
      </c>
      <c r="J63" t="s">
        <v>64</v>
      </c>
      <c r="K63" t="s">
        <v>43</v>
      </c>
      <c r="L63" t="s">
        <v>34</v>
      </c>
      <c r="M63" t="s">
        <v>45</v>
      </c>
      <c r="N63">
        <v>3</v>
      </c>
      <c r="O63">
        <v>3</v>
      </c>
      <c r="P63">
        <v>1</v>
      </c>
      <c r="Q63">
        <v>2</v>
      </c>
      <c r="R63" t="s">
        <v>46</v>
      </c>
      <c r="S63">
        <v>3</v>
      </c>
      <c r="T63">
        <v>5</v>
      </c>
      <c r="U63" t="s">
        <v>35</v>
      </c>
      <c r="W63" s="2">
        <v>46309.413194444445</v>
      </c>
      <c r="X63" t="s">
        <v>39</v>
      </c>
    </row>
    <row r="64" spans="1:24" x14ac:dyDescent="0.25">
      <c r="A64" t="s">
        <v>160</v>
      </c>
      <c r="B64" t="s">
        <v>159</v>
      </c>
      <c r="C64" t="s">
        <v>124</v>
      </c>
      <c r="D64" s="1">
        <v>46307</v>
      </c>
      <c r="E64" t="s">
        <v>102</v>
      </c>
      <c r="F64" t="s">
        <v>103</v>
      </c>
      <c r="G64" t="s">
        <v>104</v>
      </c>
      <c r="H64" t="s">
        <v>105</v>
      </c>
      <c r="I64" t="s">
        <v>31</v>
      </c>
      <c r="J64" t="s">
        <v>98</v>
      </c>
      <c r="K64" t="s">
        <v>43</v>
      </c>
      <c r="L64" t="s">
        <v>58</v>
      </c>
      <c r="M64" t="s">
        <v>45</v>
      </c>
      <c r="N64">
        <v>3</v>
      </c>
      <c r="O64">
        <v>4</v>
      </c>
      <c r="P64">
        <v>4</v>
      </c>
      <c r="Q64">
        <v>3</v>
      </c>
      <c r="R64" t="s">
        <v>51</v>
      </c>
      <c r="S64">
        <v>4</v>
      </c>
      <c r="T64">
        <v>4</v>
      </c>
      <c r="U64" t="s">
        <v>45</v>
      </c>
      <c r="V64" t="s">
        <v>47</v>
      </c>
      <c r="W64" s="2">
        <v>46309.560416666667</v>
      </c>
      <c r="X64" t="s">
        <v>39</v>
      </c>
    </row>
    <row r="65" spans="1:24" x14ac:dyDescent="0.25">
      <c r="A65" t="s">
        <v>161</v>
      </c>
      <c r="B65" t="s">
        <v>159</v>
      </c>
      <c r="C65" t="s">
        <v>124</v>
      </c>
      <c r="D65" s="1">
        <v>46307</v>
      </c>
      <c r="E65" t="s">
        <v>102</v>
      </c>
      <c r="F65" t="s">
        <v>103</v>
      </c>
      <c r="G65" t="s">
        <v>110</v>
      </c>
      <c r="H65" t="s">
        <v>105</v>
      </c>
      <c r="I65" t="s">
        <v>31</v>
      </c>
      <c r="J65" t="s">
        <v>71</v>
      </c>
      <c r="K65" t="s">
        <v>55</v>
      </c>
      <c r="L65" t="s">
        <v>72</v>
      </c>
      <c r="M65" t="s">
        <v>45</v>
      </c>
      <c r="N65">
        <v>5</v>
      </c>
      <c r="O65">
        <v>5</v>
      </c>
      <c r="P65">
        <v>5</v>
      </c>
      <c r="Q65">
        <v>5</v>
      </c>
      <c r="R65" t="s">
        <v>51</v>
      </c>
      <c r="S65">
        <v>4</v>
      </c>
      <c r="T65">
        <v>10</v>
      </c>
      <c r="U65" t="s">
        <v>35</v>
      </c>
      <c r="W65" s="2">
        <v>46308.777777777781</v>
      </c>
      <c r="X65" t="s">
        <v>39</v>
      </c>
    </row>
    <row r="66" spans="1:24" x14ac:dyDescent="0.25">
      <c r="A66" t="s">
        <v>162</v>
      </c>
      <c r="B66" t="s">
        <v>159</v>
      </c>
      <c r="C66" t="s">
        <v>124</v>
      </c>
      <c r="D66" s="1">
        <v>46307</v>
      </c>
      <c r="E66" t="s">
        <v>102</v>
      </c>
      <c r="F66" t="s">
        <v>103</v>
      </c>
      <c r="G66" t="s">
        <v>112</v>
      </c>
      <c r="H66" t="s">
        <v>105</v>
      </c>
      <c r="I66" t="s">
        <v>31</v>
      </c>
      <c r="J66" t="s">
        <v>163</v>
      </c>
      <c r="K66" t="s">
        <v>55</v>
      </c>
      <c r="L66" t="s">
        <v>72</v>
      </c>
      <c r="M66" t="s">
        <v>45</v>
      </c>
      <c r="N66">
        <v>1</v>
      </c>
      <c r="O66">
        <v>3</v>
      </c>
      <c r="P66">
        <v>2</v>
      </c>
      <c r="Q66">
        <v>2</v>
      </c>
      <c r="R66" t="s">
        <v>51</v>
      </c>
      <c r="S66">
        <v>2</v>
      </c>
      <c r="T66">
        <v>4</v>
      </c>
      <c r="U66" t="s">
        <v>35</v>
      </c>
      <c r="V66" t="s">
        <v>56</v>
      </c>
      <c r="W66" s="2">
        <v>46308.618750000001</v>
      </c>
      <c r="X66" t="s">
        <v>39</v>
      </c>
    </row>
    <row r="67" spans="1:24" x14ac:dyDescent="0.25">
      <c r="A67" t="s">
        <v>164</v>
      </c>
      <c r="B67" t="s">
        <v>159</v>
      </c>
      <c r="C67" t="s">
        <v>124</v>
      </c>
      <c r="D67" s="1">
        <v>46307</v>
      </c>
      <c r="E67" t="s">
        <v>102</v>
      </c>
      <c r="F67" t="s">
        <v>103</v>
      </c>
      <c r="G67" t="s">
        <v>104</v>
      </c>
      <c r="H67" t="s">
        <v>105</v>
      </c>
      <c r="I67" t="s">
        <v>31</v>
      </c>
      <c r="J67" t="s">
        <v>94</v>
      </c>
      <c r="K67" t="s">
        <v>43</v>
      </c>
      <c r="L67" t="s">
        <v>67</v>
      </c>
      <c r="M67" t="s">
        <v>45</v>
      </c>
      <c r="N67">
        <v>3</v>
      </c>
      <c r="O67">
        <v>3</v>
      </c>
      <c r="P67">
        <v>4</v>
      </c>
      <c r="Q67">
        <v>4</v>
      </c>
      <c r="R67" t="s">
        <v>51</v>
      </c>
      <c r="S67">
        <v>4</v>
      </c>
      <c r="T67">
        <v>6</v>
      </c>
      <c r="U67" t="s">
        <v>45</v>
      </c>
      <c r="V67" t="s">
        <v>38</v>
      </c>
      <c r="W67" s="2">
        <v>46309.563888888886</v>
      </c>
      <c r="X67" t="s">
        <v>39</v>
      </c>
    </row>
    <row r="68" spans="1:24" x14ac:dyDescent="0.25">
      <c r="A68" t="s">
        <v>165</v>
      </c>
      <c r="B68" t="s">
        <v>159</v>
      </c>
      <c r="C68" t="s">
        <v>124</v>
      </c>
      <c r="D68" s="1">
        <v>46307</v>
      </c>
      <c r="E68" t="s">
        <v>102</v>
      </c>
      <c r="F68" t="s">
        <v>103</v>
      </c>
      <c r="G68" t="s">
        <v>110</v>
      </c>
      <c r="H68" t="s">
        <v>105</v>
      </c>
      <c r="I68" t="s">
        <v>31</v>
      </c>
      <c r="J68" t="s">
        <v>71</v>
      </c>
      <c r="K68" t="s">
        <v>65</v>
      </c>
      <c r="L68" t="s">
        <v>67</v>
      </c>
      <c r="M68" t="s">
        <v>45</v>
      </c>
      <c r="N68">
        <v>2</v>
      </c>
      <c r="O68">
        <v>2</v>
      </c>
      <c r="P68">
        <v>2</v>
      </c>
      <c r="Q68">
        <v>3</v>
      </c>
      <c r="R68" t="s">
        <v>51</v>
      </c>
      <c r="S68">
        <v>4</v>
      </c>
      <c r="T68">
        <v>4</v>
      </c>
      <c r="U68" t="s">
        <v>45</v>
      </c>
      <c r="V68" t="s">
        <v>108</v>
      </c>
      <c r="W68" s="2">
        <v>46309.556250000001</v>
      </c>
      <c r="X68" t="s">
        <v>39</v>
      </c>
    </row>
    <row r="69" spans="1:24" x14ac:dyDescent="0.25">
      <c r="A69" t="s">
        <v>166</v>
      </c>
      <c r="B69" t="s">
        <v>159</v>
      </c>
      <c r="C69" t="s">
        <v>124</v>
      </c>
      <c r="D69" s="1">
        <v>46307</v>
      </c>
      <c r="E69" t="s">
        <v>102</v>
      </c>
      <c r="F69" t="s">
        <v>103</v>
      </c>
      <c r="G69" t="s">
        <v>104</v>
      </c>
      <c r="H69" t="s">
        <v>105</v>
      </c>
      <c r="I69" t="s">
        <v>31</v>
      </c>
      <c r="J69" t="s">
        <v>32</v>
      </c>
      <c r="K69" t="s">
        <v>43</v>
      </c>
      <c r="L69" t="s">
        <v>44</v>
      </c>
      <c r="M69" t="s">
        <v>35</v>
      </c>
      <c r="N69">
        <v>3</v>
      </c>
      <c r="O69">
        <v>2</v>
      </c>
      <c r="P69">
        <v>3</v>
      </c>
      <c r="Q69">
        <v>3</v>
      </c>
      <c r="R69" t="s">
        <v>51</v>
      </c>
      <c r="S69">
        <v>5</v>
      </c>
      <c r="T69">
        <v>6</v>
      </c>
      <c r="U69" t="s">
        <v>35</v>
      </c>
      <c r="V69" t="s">
        <v>167</v>
      </c>
      <c r="W69" s="2">
        <v>46309.535416666666</v>
      </c>
      <c r="X69" t="s">
        <v>39</v>
      </c>
    </row>
    <row r="70" spans="1:24" x14ac:dyDescent="0.25">
      <c r="A70" t="s">
        <v>168</v>
      </c>
      <c r="B70" t="s">
        <v>159</v>
      </c>
      <c r="C70" t="s">
        <v>124</v>
      </c>
      <c r="D70" s="1">
        <v>46307</v>
      </c>
      <c r="E70" t="s">
        <v>102</v>
      </c>
      <c r="F70" t="s">
        <v>103</v>
      </c>
      <c r="G70" t="s">
        <v>104</v>
      </c>
      <c r="H70" t="s">
        <v>105</v>
      </c>
      <c r="I70" t="s">
        <v>31</v>
      </c>
      <c r="J70" t="s">
        <v>163</v>
      </c>
      <c r="K70" t="s">
        <v>33</v>
      </c>
      <c r="L70" t="s">
        <v>34</v>
      </c>
      <c r="M70" t="s">
        <v>45</v>
      </c>
      <c r="N70">
        <v>5</v>
      </c>
      <c r="O70">
        <v>5</v>
      </c>
      <c r="Q70">
        <v>5</v>
      </c>
      <c r="R70" t="s">
        <v>51</v>
      </c>
      <c r="S70">
        <v>5</v>
      </c>
      <c r="T70">
        <v>10</v>
      </c>
      <c r="U70" t="s">
        <v>35</v>
      </c>
      <c r="V70" t="s">
        <v>74</v>
      </c>
      <c r="W70" s="2">
        <v>46307.506944444445</v>
      </c>
      <c r="X70" t="s">
        <v>39</v>
      </c>
    </row>
    <row r="71" spans="1:24" x14ac:dyDescent="0.25">
      <c r="A71" t="s">
        <v>169</v>
      </c>
      <c r="B71" t="s">
        <v>159</v>
      </c>
      <c r="C71" t="s">
        <v>124</v>
      </c>
      <c r="D71" s="1">
        <v>46307</v>
      </c>
      <c r="E71" t="s">
        <v>102</v>
      </c>
      <c r="F71" t="s">
        <v>103</v>
      </c>
      <c r="G71" t="s">
        <v>104</v>
      </c>
      <c r="H71" t="s">
        <v>105</v>
      </c>
      <c r="I71" t="s">
        <v>31</v>
      </c>
      <c r="J71" t="s">
        <v>128</v>
      </c>
      <c r="K71" t="s">
        <v>55</v>
      </c>
      <c r="L71" t="s">
        <v>67</v>
      </c>
      <c r="M71" t="s">
        <v>45</v>
      </c>
      <c r="N71">
        <v>4</v>
      </c>
      <c r="O71">
        <v>4</v>
      </c>
      <c r="P71">
        <v>4</v>
      </c>
      <c r="Q71">
        <v>5</v>
      </c>
      <c r="R71" t="s">
        <v>51</v>
      </c>
      <c r="S71">
        <v>5</v>
      </c>
      <c r="T71">
        <v>7</v>
      </c>
      <c r="U71" t="s">
        <v>45</v>
      </c>
      <c r="V71" t="s">
        <v>91</v>
      </c>
      <c r="W71" s="2">
        <v>46307.77847222222</v>
      </c>
      <c r="X71" t="s">
        <v>39</v>
      </c>
    </row>
    <row r="72" spans="1:24" x14ac:dyDescent="0.25">
      <c r="A72" t="s">
        <v>170</v>
      </c>
      <c r="B72" t="s">
        <v>171</v>
      </c>
      <c r="C72" t="s">
        <v>172</v>
      </c>
      <c r="D72" s="1">
        <v>46308</v>
      </c>
      <c r="E72" t="s">
        <v>27</v>
      </c>
      <c r="F72" t="s">
        <v>28</v>
      </c>
      <c r="G72" t="s">
        <v>49</v>
      </c>
      <c r="H72" t="s">
        <v>30</v>
      </c>
      <c r="I72" t="s">
        <v>31</v>
      </c>
      <c r="J72" t="s">
        <v>163</v>
      </c>
      <c r="K72" t="s">
        <v>55</v>
      </c>
      <c r="L72" t="s">
        <v>34</v>
      </c>
      <c r="M72" t="s">
        <v>45</v>
      </c>
      <c r="N72">
        <v>4</v>
      </c>
      <c r="O72">
        <v>5</v>
      </c>
      <c r="P72">
        <v>5</v>
      </c>
      <c r="Q72">
        <v>5</v>
      </c>
      <c r="R72" t="s">
        <v>51</v>
      </c>
      <c r="S72">
        <v>5</v>
      </c>
      <c r="T72">
        <v>10</v>
      </c>
      <c r="U72" t="s">
        <v>37</v>
      </c>
      <c r="V72" t="s">
        <v>121</v>
      </c>
      <c r="W72" s="2">
        <v>46308.611805555556</v>
      </c>
      <c r="X72" t="s">
        <v>39</v>
      </c>
    </row>
    <row r="73" spans="1:24" x14ac:dyDescent="0.25">
      <c r="A73" t="s">
        <v>173</v>
      </c>
      <c r="B73" t="s">
        <v>171</v>
      </c>
      <c r="C73" t="s">
        <v>172</v>
      </c>
      <c r="D73" s="1">
        <v>46308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  <c r="J73" t="s">
        <v>163</v>
      </c>
      <c r="K73" t="s">
        <v>138</v>
      </c>
      <c r="L73" t="s">
        <v>58</v>
      </c>
      <c r="M73" t="s">
        <v>45</v>
      </c>
      <c r="N73">
        <v>5</v>
      </c>
      <c r="O73">
        <v>4</v>
      </c>
      <c r="P73">
        <v>5</v>
      </c>
      <c r="Q73">
        <v>5</v>
      </c>
      <c r="R73" t="s">
        <v>51</v>
      </c>
      <c r="S73">
        <v>3</v>
      </c>
      <c r="T73">
        <v>8</v>
      </c>
      <c r="U73" t="s">
        <v>45</v>
      </c>
      <c r="V73" t="s">
        <v>38</v>
      </c>
      <c r="W73" s="2">
        <v>46308.623611111114</v>
      </c>
      <c r="X73" t="s">
        <v>39</v>
      </c>
    </row>
    <row r="74" spans="1:24" x14ac:dyDescent="0.25">
      <c r="A74" t="s">
        <v>174</v>
      </c>
      <c r="B74" t="s">
        <v>171</v>
      </c>
      <c r="C74" t="s">
        <v>172</v>
      </c>
      <c r="D74" s="1">
        <v>46308</v>
      </c>
      <c r="E74" t="s">
        <v>27</v>
      </c>
      <c r="F74" t="s">
        <v>28</v>
      </c>
      <c r="G74" t="s">
        <v>29</v>
      </c>
      <c r="H74" t="s">
        <v>30</v>
      </c>
      <c r="I74" t="s">
        <v>31</v>
      </c>
      <c r="J74" t="s">
        <v>107</v>
      </c>
      <c r="K74" t="s">
        <v>33</v>
      </c>
      <c r="L74" t="s">
        <v>34</v>
      </c>
      <c r="M74" t="s">
        <v>35</v>
      </c>
      <c r="N74">
        <v>5</v>
      </c>
      <c r="O74">
        <v>4</v>
      </c>
      <c r="P74">
        <v>5</v>
      </c>
      <c r="Q74">
        <v>5</v>
      </c>
      <c r="R74" t="s">
        <v>51</v>
      </c>
      <c r="S74">
        <v>5</v>
      </c>
      <c r="T74">
        <v>8</v>
      </c>
      <c r="U74" t="s">
        <v>37</v>
      </c>
      <c r="W74" s="2">
        <v>46309.763888888891</v>
      </c>
      <c r="X74" t="s">
        <v>39</v>
      </c>
    </row>
    <row r="75" spans="1:24" x14ac:dyDescent="0.25">
      <c r="A75" t="s">
        <v>175</v>
      </c>
      <c r="B75" t="s">
        <v>171</v>
      </c>
      <c r="C75" t="s">
        <v>172</v>
      </c>
      <c r="D75" s="1">
        <v>46308</v>
      </c>
      <c r="E75" t="s">
        <v>27</v>
      </c>
      <c r="F75" t="s">
        <v>28</v>
      </c>
      <c r="G75" t="s">
        <v>132</v>
      </c>
      <c r="H75" t="s">
        <v>30</v>
      </c>
      <c r="I75" t="s">
        <v>31</v>
      </c>
      <c r="J75" t="s">
        <v>98</v>
      </c>
      <c r="K75" t="s">
        <v>65</v>
      </c>
      <c r="L75" t="s">
        <v>44</v>
      </c>
      <c r="M75" t="s">
        <v>45</v>
      </c>
      <c r="N75">
        <v>5</v>
      </c>
      <c r="O75">
        <v>4</v>
      </c>
      <c r="P75">
        <v>5</v>
      </c>
      <c r="Q75">
        <v>5</v>
      </c>
      <c r="R75" t="s">
        <v>46</v>
      </c>
      <c r="S75">
        <v>4</v>
      </c>
      <c r="T75">
        <v>8</v>
      </c>
      <c r="U75" t="s">
        <v>37</v>
      </c>
      <c r="V75" t="s">
        <v>59</v>
      </c>
      <c r="W75" s="2">
        <v>46309.788194444445</v>
      </c>
      <c r="X75" t="s">
        <v>39</v>
      </c>
    </row>
    <row r="76" spans="1:24" x14ac:dyDescent="0.25">
      <c r="A76" t="s">
        <v>176</v>
      </c>
      <c r="B76" t="s">
        <v>171</v>
      </c>
      <c r="C76" t="s">
        <v>172</v>
      </c>
      <c r="D76" s="1">
        <v>46308</v>
      </c>
      <c r="E76" t="s">
        <v>27</v>
      </c>
      <c r="F76" t="s">
        <v>28</v>
      </c>
      <c r="G76" t="s">
        <v>54</v>
      </c>
      <c r="H76" t="s">
        <v>30</v>
      </c>
      <c r="I76" t="s">
        <v>31</v>
      </c>
      <c r="J76" t="s">
        <v>94</v>
      </c>
      <c r="K76" t="s">
        <v>55</v>
      </c>
      <c r="L76" t="s">
        <v>44</v>
      </c>
      <c r="M76" t="s">
        <v>45</v>
      </c>
      <c r="N76">
        <v>5</v>
      </c>
      <c r="O76">
        <v>5</v>
      </c>
      <c r="P76">
        <v>5</v>
      </c>
      <c r="Q76">
        <v>5</v>
      </c>
      <c r="R76" t="s">
        <v>36</v>
      </c>
      <c r="S76">
        <v>3</v>
      </c>
      <c r="T76">
        <v>10</v>
      </c>
      <c r="U76" t="s">
        <v>45</v>
      </c>
      <c r="W76" s="2">
        <v>46308.554861111108</v>
      </c>
      <c r="X76" t="s">
        <v>39</v>
      </c>
    </row>
    <row r="77" spans="1:24" x14ac:dyDescent="0.25">
      <c r="A77" t="s">
        <v>177</v>
      </c>
      <c r="B77" t="s">
        <v>171</v>
      </c>
      <c r="C77" t="s">
        <v>172</v>
      </c>
      <c r="D77" s="1">
        <v>46308</v>
      </c>
      <c r="E77" t="s">
        <v>27</v>
      </c>
      <c r="F77" t="s">
        <v>28</v>
      </c>
      <c r="G77" t="s">
        <v>49</v>
      </c>
      <c r="H77" t="s">
        <v>30</v>
      </c>
      <c r="I77" t="s">
        <v>31</v>
      </c>
      <c r="J77" t="s">
        <v>107</v>
      </c>
      <c r="K77" t="s">
        <v>33</v>
      </c>
      <c r="L77" t="s">
        <v>58</v>
      </c>
      <c r="M77" t="s">
        <v>45</v>
      </c>
      <c r="N77">
        <v>5</v>
      </c>
      <c r="P77">
        <v>3</v>
      </c>
      <c r="Q77">
        <v>3</v>
      </c>
      <c r="R77" t="s">
        <v>51</v>
      </c>
      <c r="S77">
        <v>3</v>
      </c>
      <c r="T77">
        <v>6</v>
      </c>
      <c r="U77" t="s">
        <v>37</v>
      </c>
      <c r="V77" t="s">
        <v>59</v>
      </c>
      <c r="W77" s="2">
        <v>46308.629861111112</v>
      </c>
      <c r="X77" t="s">
        <v>39</v>
      </c>
    </row>
    <row r="78" spans="1:24" x14ac:dyDescent="0.25">
      <c r="A78" t="s">
        <v>178</v>
      </c>
      <c r="B78" t="s">
        <v>171</v>
      </c>
      <c r="C78" t="s">
        <v>172</v>
      </c>
      <c r="D78" s="1">
        <v>46308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t="s">
        <v>128</v>
      </c>
      <c r="K78" t="s">
        <v>65</v>
      </c>
      <c r="L78" t="s">
        <v>58</v>
      </c>
      <c r="M78" t="s">
        <v>45</v>
      </c>
      <c r="N78">
        <v>5</v>
      </c>
      <c r="O78">
        <v>4</v>
      </c>
      <c r="P78">
        <v>3</v>
      </c>
      <c r="Q78">
        <v>5</v>
      </c>
      <c r="R78" t="s">
        <v>51</v>
      </c>
      <c r="S78">
        <v>5</v>
      </c>
      <c r="T78">
        <v>8</v>
      </c>
      <c r="U78" t="s">
        <v>45</v>
      </c>
      <c r="V78" t="s">
        <v>62</v>
      </c>
      <c r="W78" s="2">
        <v>46310.513194444444</v>
      </c>
      <c r="X78" t="s">
        <v>39</v>
      </c>
    </row>
    <row r="79" spans="1:24" x14ac:dyDescent="0.25">
      <c r="A79" t="s">
        <v>179</v>
      </c>
      <c r="B79" t="s">
        <v>171</v>
      </c>
      <c r="C79" t="s">
        <v>172</v>
      </c>
      <c r="D79" s="1">
        <v>46308</v>
      </c>
      <c r="E79" t="s">
        <v>27</v>
      </c>
      <c r="F79" t="s">
        <v>28</v>
      </c>
      <c r="G79" t="s">
        <v>29</v>
      </c>
      <c r="H79" t="s">
        <v>30</v>
      </c>
      <c r="I79" t="s">
        <v>31</v>
      </c>
      <c r="J79" t="s">
        <v>98</v>
      </c>
      <c r="K79" t="s">
        <v>43</v>
      </c>
      <c r="L79" t="s">
        <v>44</v>
      </c>
      <c r="M79" t="s">
        <v>45</v>
      </c>
      <c r="N79">
        <v>2</v>
      </c>
      <c r="O79">
        <v>3</v>
      </c>
      <c r="P79">
        <v>2</v>
      </c>
      <c r="Q79">
        <v>3</v>
      </c>
      <c r="R79" t="s">
        <v>51</v>
      </c>
      <c r="S79">
        <v>5</v>
      </c>
      <c r="T79">
        <v>4</v>
      </c>
      <c r="U79" t="s">
        <v>45</v>
      </c>
      <c r="V79" t="s">
        <v>47</v>
      </c>
      <c r="W79" s="2">
        <v>46309.590277777781</v>
      </c>
      <c r="X79" t="s">
        <v>39</v>
      </c>
    </row>
    <row r="80" spans="1:24" x14ac:dyDescent="0.25">
      <c r="A80" t="s">
        <v>180</v>
      </c>
      <c r="B80" t="s">
        <v>171</v>
      </c>
      <c r="C80" t="s">
        <v>172</v>
      </c>
      <c r="D80" s="1">
        <v>46308</v>
      </c>
      <c r="E80" t="s">
        <v>27</v>
      </c>
      <c r="F80" t="s">
        <v>28</v>
      </c>
      <c r="G80" t="s">
        <v>49</v>
      </c>
      <c r="H80" t="s">
        <v>30</v>
      </c>
      <c r="I80" t="s">
        <v>31</v>
      </c>
      <c r="J80" t="s">
        <v>42</v>
      </c>
      <c r="K80" t="s">
        <v>65</v>
      </c>
      <c r="L80" t="s">
        <v>72</v>
      </c>
      <c r="M80" t="s">
        <v>45</v>
      </c>
      <c r="N80">
        <v>4</v>
      </c>
      <c r="P80">
        <v>5</v>
      </c>
      <c r="Q80">
        <v>4</v>
      </c>
      <c r="R80" t="s">
        <v>51</v>
      </c>
      <c r="S80">
        <v>4</v>
      </c>
      <c r="T80">
        <v>9</v>
      </c>
      <c r="U80" t="s">
        <v>45</v>
      </c>
      <c r="V80" t="s">
        <v>125</v>
      </c>
      <c r="W80" s="2">
        <v>46309.563194444447</v>
      </c>
      <c r="X80" t="s">
        <v>39</v>
      </c>
    </row>
    <row r="81" spans="1:24" x14ac:dyDescent="0.25">
      <c r="A81" t="s">
        <v>181</v>
      </c>
      <c r="B81" t="s">
        <v>171</v>
      </c>
      <c r="C81" t="s">
        <v>172</v>
      </c>
      <c r="D81" s="1">
        <v>46308</v>
      </c>
      <c r="E81" t="s">
        <v>27</v>
      </c>
      <c r="F81" t="s">
        <v>28</v>
      </c>
      <c r="G81" t="s">
        <v>49</v>
      </c>
      <c r="H81" t="s">
        <v>30</v>
      </c>
      <c r="I81" t="s">
        <v>31</v>
      </c>
      <c r="J81" t="s">
        <v>42</v>
      </c>
      <c r="K81" t="s">
        <v>33</v>
      </c>
      <c r="L81" t="s">
        <v>72</v>
      </c>
      <c r="M81" t="s">
        <v>45</v>
      </c>
      <c r="N81">
        <v>5</v>
      </c>
      <c r="O81">
        <v>5</v>
      </c>
      <c r="Q81">
        <v>5</v>
      </c>
      <c r="R81" t="s">
        <v>51</v>
      </c>
      <c r="S81">
        <v>3</v>
      </c>
      <c r="T81">
        <v>10</v>
      </c>
      <c r="U81" t="s">
        <v>45</v>
      </c>
      <c r="W81" s="2">
        <v>46310.591666666667</v>
      </c>
      <c r="X81" t="s">
        <v>39</v>
      </c>
    </row>
    <row r="82" spans="1:24" x14ac:dyDescent="0.25">
      <c r="A82" t="s">
        <v>182</v>
      </c>
      <c r="B82" t="s">
        <v>171</v>
      </c>
      <c r="C82" t="s">
        <v>172</v>
      </c>
      <c r="D82" s="1">
        <v>46308</v>
      </c>
      <c r="E82" t="s">
        <v>27</v>
      </c>
      <c r="F82" t="s">
        <v>28</v>
      </c>
      <c r="G82" t="s">
        <v>41</v>
      </c>
      <c r="H82" t="s">
        <v>30</v>
      </c>
      <c r="I82" t="s">
        <v>31</v>
      </c>
      <c r="J82" t="s">
        <v>50</v>
      </c>
      <c r="K82" t="s">
        <v>138</v>
      </c>
      <c r="L82" t="s">
        <v>72</v>
      </c>
      <c r="M82" t="s">
        <v>45</v>
      </c>
      <c r="N82">
        <v>4</v>
      </c>
      <c r="O82">
        <v>3</v>
      </c>
      <c r="P82">
        <v>4</v>
      </c>
      <c r="Q82">
        <v>4</v>
      </c>
      <c r="R82" t="s">
        <v>51</v>
      </c>
      <c r="S82">
        <v>5</v>
      </c>
      <c r="T82">
        <v>7</v>
      </c>
      <c r="U82" t="s">
        <v>35</v>
      </c>
      <c r="W82" s="2">
        <v>46308.491666666669</v>
      </c>
      <c r="X82" t="s">
        <v>39</v>
      </c>
    </row>
    <row r="83" spans="1:24" x14ac:dyDescent="0.25">
      <c r="A83" t="s">
        <v>183</v>
      </c>
      <c r="B83" t="s">
        <v>171</v>
      </c>
      <c r="C83" t="s">
        <v>172</v>
      </c>
      <c r="D83" s="1">
        <v>46308</v>
      </c>
      <c r="E83" t="s">
        <v>27</v>
      </c>
      <c r="F83" t="s">
        <v>28</v>
      </c>
      <c r="G83" t="s">
        <v>49</v>
      </c>
      <c r="H83" t="s">
        <v>30</v>
      </c>
      <c r="I83" t="s">
        <v>31</v>
      </c>
      <c r="J83" t="s">
        <v>61</v>
      </c>
      <c r="K83" t="s">
        <v>33</v>
      </c>
      <c r="L83" t="s">
        <v>44</v>
      </c>
      <c r="M83" t="s">
        <v>45</v>
      </c>
      <c r="N83">
        <v>5</v>
      </c>
      <c r="O83">
        <v>5</v>
      </c>
      <c r="P83">
        <v>5</v>
      </c>
      <c r="Q83">
        <v>5</v>
      </c>
      <c r="R83" t="s">
        <v>46</v>
      </c>
      <c r="S83">
        <v>4</v>
      </c>
      <c r="T83">
        <v>10</v>
      </c>
      <c r="U83" t="s">
        <v>35</v>
      </c>
      <c r="V83" t="s">
        <v>74</v>
      </c>
      <c r="W83" s="2">
        <v>46308.597916666666</v>
      </c>
      <c r="X83" t="s">
        <v>39</v>
      </c>
    </row>
    <row r="84" spans="1:24" x14ac:dyDescent="0.25">
      <c r="A84" t="s">
        <v>184</v>
      </c>
      <c r="B84" t="s">
        <v>171</v>
      </c>
      <c r="C84" t="s">
        <v>172</v>
      </c>
      <c r="D84" s="1">
        <v>46308</v>
      </c>
      <c r="E84" t="s">
        <v>27</v>
      </c>
      <c r="F84" t="s">
        <v>28</v>
      </c>
      <c r="G84" t="s">
        <v>132</v>
      </c>
      <c r="H84" t="s">
        <v>30</v>
      </c>
      <c r="I84" t="s">
        <v>31</v>
      </c>
      <c r="J84" t="s">
        <v>50</v>
      </c>
      <c r="K84" t="s">
        <v>55</v>
      </c>
      <c r="L84" t="s">
        <v>58</v>
      </c>
      <c r="M84" t="s">
        <v>35</v>
      </c>
      <c r="N84">
        <v>3</v>
      </c>
      <c r="O84">
        <v>3</v>
      </c>
      <c r="P84">
        <v>3</v>
      </c>
      <c r="Q84">
        <v>3</v>
      </c>
      <c r="R84" t="s">
        <v>46</v>
      </c>
      <c r="S84">
        <v>4</v>
      </c>
      <c r="T84">
        <v>5</v>
      </c>
      <c r="U84" t="s">
        <v>37</v>
      </c>
      <c r="V84" t="s">
        <v>47</v>
      </c>
      <c r="W84" s="2">
        <v>46309.240972222222</v>
      </c>
      <c r="X84" t="s">
        <v>39</v>
      </c>
    </row>
    <row r="85" spans="1:24" x14ac:dyDescent="0.25">
      <c r="A85" t="s">
        <v>185</v>
      </c>
      <c r="B85" t="s">
        <v>186</v>
      </c>
      <c r="C85" t="s">
        <v>172</v>
      </c>
      <c r="D85" s="1">
        <v>46309</v>
      </c>
      <c r="E85" t="s">
        <v>77</v>
      </c>
      <c r="F85" t="s">
        <v>78</v>
      </c>
      <c r="G85" t="s">
        <v>85</v>
      </c>
      <c r="H85" t="s">
        <v>80</v>
      </c>
      <c r="I85" t="s">
        <v>31</v>
      </c>
      <c r="J85" t="s">
        <v>163</v>
      </c>
      <c r="K85" t="s">
        <v>43</v>
      </c>
      <c r="L85" t="s">
        <v>44</v>
      </c>
      <c r="M85" t="s">
        <v>45</v>
      </c>
      <c r="N85">
        <v>4</v>
      </c>
      <c r="O85">
        <v>5</v>
      </c>
      <c r="P85">
        <v>4</v>
      </c>
      <c r="Q85">
        <v>5</v>
      </c>
      <c r="R85" t="s">
        <v>36</v>
      </c>
      <c r="S85">
        <v>4</v>
      </c>
      <c r="T85">
        <v>9</v>
      </c>
      <c r="U85" t="s">
        <v>37</v>
      </c>
      <c r="W85" s="2">
        <v>46311.531944444447</v>
      </c>
      <c r="X85" t="s">
        <v>39</v>
      </c>
    </row>
    <row r="86" spans="1:24" x14ac:dyDescent="0.25">
      <c r="A86" t="s">
        <v>187</v>
      </c>
      <c r="B86" t="s">
        <v>186</v>
      </c>
      <c r="C86" t="s">
        <v>172</v>
      </c>
      <c r="D86" s="1">
        <v>46309</v>
      </c>
      <c r="E86" t="s">
        <v>77</v>
      </c>
      <c r="F86" t="s">
        <v>78</v>
      </c>
      <c r="G86" t="s">
        <v>79</v>
      </c>
      <c r="H86" t="s">
        <v>80</v>
      </c>
      <c r="I86" t="s">
        <v>31</v>
      </c>
      <c r="J86" t="s">
        <v>50</v>
      </c>
      <c r="K86" t="s">
        <v>138</v>
      </c>
      <c r="L86" t="s">
        <v>72</v>
      </c>
      <c r="M86" t="s">
        <v>45</v>
      </c>
      <c r="N86">
        <v>4</v>
      </c>
      <c r="O86">
        <v>5</v>
      </c>
      <c r="P86">
        <v>5</v>
      </c>
      <c r="Q86">
        <v>5</v>
      </c>
      <c r="R86" t="s">
        <v>46</v>
      </c>
      <c r="S86">
        <v>3</v>
      </c>
      <c r="T86">
        <v>10</v>
      </c>
      <c r="U86" t="s">
        <v>37</v>
      </c>
      <c r="V86" t="s">
        <v>38</v>
      </c>
      <c r="W86" s="2">
        <v>46311.554166666669</v>
      </c>
      <c r="X86" t="s">
        <v>39</v>
      </c>
    </row>
    <row r="87" spans="1:24" x14ac:dyDescent="0.25">
      <c r="A87" t="s">
        <v>188</v>
      </c>
      <c r="B87" t="s">
        <v>186</v>
      </c>
      <c r="C87" t="s">
        <v>172</v>
      </c>
      <c r="D87" s="1">
        <v>46309</v>
      </c>
      <c r="E87" t="s">
        <v>77</v>
      </c>
      <c r="F87" t="s">
        <v>78</v>
      </c>
      <c r="G87" t="s">
        <v>85</v>
      </c>
      <c r="H87" t="s">
        <v>80</v>
      </c>
      <c r="I87" t="s">
        <v>31</v>
      </c>
      <c r="J87" t="s">
        <v>128</v>
      </c>
      <c r="K87" t="s">
        <v>55</v>
      </c>
      <c r="L87" t="s">
        <v>58</v>
      </c>
      <c r="M87" t="s">
        <v>45</v>
      </c>
      <c r="N87">
        <v>1</v>
      </c>
      <c r="O87">
        <v>2</v>
      </c>
      <c r="P87">
        <v>1</v>
      </c>
      <c r="Q87">
        <v>2</v>
      </c>
      <c r="R87" t="s">
        <v>46</v>
      </c>
      <c r="S87">
        <v>2</v>
      </c>
      <c r="T87">
        <v>4</v>
      </c>
      <c r="U87" t="s">
        <v>45</v>
      </c>
      <c r="V87" t="s">
        <v>189</v>
      </c>
      <c r="W87" s="2">
        <v>46310.525694444441</v>
      </c>
      <c r="X87" t="s">
        <v>39</v>
      </c>
    </row>
    <row r="88" spans="1:24" x14ac:dyDescent="0.25">
      <c r="A88" t="s">
        <v>190</v>
      </c>
      <c r="B88" t="s">
        <v>186</v>
      </c>
      <c r="C88" t="s">
        <v>172</v>
      </c>
      <c r="D88" s="1">
        <v>46309</v>
      </c>
      <c r="E88" t="s">
        <v>77</v>
      </c>
      <c r="F88" t="s">
        <v>78</v>
      </c>
      <c r="G88" t="s">
        <v>83</v>
      </c>
      <c r="H88" t="s">
        <v>80</v>
      </c>
      <c r="I88" t="s">
        <v>31</v>
      </c>
      <c r="J88" t="s">
        <v>98</v>
      </c>
      <c r="K88" t="s">
        <v>43</v>
      </c>
      <c r="L88" t="s">
        <v>44</v>
      </c>
      <c r="M88" t="s">
        <v>45</v>
      </c>
      <c r="O88">
        <v>2</v>
      </c>
      <c r="P88">
        <v>3</v>
      </c>
      <c r="Q88">
        <v>1</v>
      </c>
      <c r="R88" t="s">
        <v>51</v>
      </c>
      <c r="S88">
        <v>1</v>
      </c>
      <c r="T88">
        <v>5</v>
      </c>
      <c r="U88" t="s">
        <v>35</v>
      </c>
      <c r="V88" t="s">
        <v>191</v>
      </c>
      <c r="W88" s="2">
        <v>46309.7</v>
      </c>
      <c r="X88" t="s">
        <v>39</v>
      </c>
    </row>
    <row r="89" spans="1:24" x14ac:dyDescent="0.25">
      <c r="A89" t="s">
        <v>192</v>
      </c>
      <c r="B89" t="s">
        <v>186</v>
      </c>
      <c r="C89" t="s">
        <v>172</v>
      </c>
      <c r="D89" s="1">
        <v>46309</v>
      </c>
      <c r="E89" t="s">
        <v>77</v>
      </c>
      <c r="F89" t="s">
        <v>78</v>
      </c>
      <c r="G89" t="s">
        <v>83</v>
      </c>
      <c r="H89" t="s">
        <v>80</v>
      </c>
      <c r="I89" t="s">
        <v>31</v>
      </c>
      <c r="J89" t="s">
        <v>61</v>
      </c>
      <c r="K89" t="s">
        <v>43</v>
      </c>
      <c r="L89" t="s">
        <v>58</v>
      </c>
      <c r="M89" t="s">
        <v>45</v>
      </c>
      <c r="N89">
        <v>4</v>
      </c>
      <c r="O89">
        <v>4</v>
      </c>
      <c r="P89">
        <v>4</v>
      </c>
      <c r="Q89">
        <v>4</v>
      </c>
      <c r="R89" t="s">
        <v>36</v>
      </c>
      <c r="S89">
        <v>4</v>
      </c>
      <c r="T89">
        <v>7</v>
      </c>
      <c r="U89" t="s">
        <v>45</v>
      </c>
      <c r="V89" t="s">
        <v>59</v>
      </c>
      <c r="W89" s="2">
        <v>46309.770138888889</v>
      </c>
      <c r="X89" t="s">
        <v>39</v>
      </c>
    </row>
    <row r="90" spans="1:24" x14ac:dyDescent="0.25">
      <c r="A90" t="s">
        <v>193</v>
      </c>
      <c r="B90" t="s">
        <v>186</v>
      </c>
      <c r="C90" t="s">
        <v>172</v>
      </c>
      <c r="D90" s="1">
        <v>46309</v>
      </c>
      <c r="E90" t="s">
        <v>77</v>
      </c>
      <c r="F90" t="s">
        <v>78</v>
      </c>
      <c r="G90" t="s">
        <v>79</v>
      </c>
      <c r="H90" t="s">
        <v>80</v>
      </c>
      <c r="I90" t="s">
        <v>31</v>
      </c>
      <c r="J90" t="s">
        <v>32</v>
      </c>
      <c r="K90" t="s">
        <v>55</v>
      </c>
      <c r="L90" t="s">
        <v>58</v>
      </c>
      <c r="M90" t="s">
        <v>45</v>
      </c>
      <c r="N90">
        <v>4</v>
      </c>
      <c r="O90">
        <v>5</v>
      </c>
      <c r="Q90">
        <v>4</v>
      </c>
      <c r="R90" t="s">
        <v>51</v>
      </c>
      <c r="S90">
        <v>4</v>
      </c>
      <c r="T90">
        <v>8</v>
      </c>
      <c r="U90" t="s">
        <v>37</v>
      </c>
      <c r="V90" t="s">
        <v>62</v>
      </c>
      <c r="W90" s="2">
        <v>46311.378472222219</v>
      </c>
      <c r="X90" t="s">
        <v>39</v>
      </c>
    </row>
    <row r="91" spans="1:24" x14ac:dyDescent="0.25">
      <c r="A91" t="s">
        <v>194</v>
      </c>
      <c r="B91" t="s">
        <v>186</v>
      </c>
      <c r="C91" t="s">
        <v>172</v>
      </c>
      <c r="D91" s="1">
        <v>46309</v>
      </c>
      <c r="E91" t="s">
        <v>77</v>
      </c>
      <c r="F91" t="s">
        <v>78</v>
      </c>
      <c r="G91" t="s">
        <v>85</v>
      </c>
      <c r="H91" t="s">
        <v>80</v>
      </c>
      <c r="I91" t="s">
        <v>31</v>
      </c>
      <c r="J91" t="s">
        <v>86</v>
      </c>
      <c r="K91" t="s">
        <v>65</v>
      </c>
      <c r="L91" t="s">
        <v>58</v>
      </c>
      <c r="M91" t="s">
        <v>45</v>
      </c>
      <c r="N91">
        <v>3</v>
      </c>
      <c r="O91">
        <v>2</v>
      </c>
      <c r="P91">
        <v>3</v>
      </c>
      <c r="Q91">
        <v>2</v>
      </c>
      <c r="R91" t="s">
        <v>36</v>
      </c>
      <c r="S91">
        <v>3</v>
      </c>
      <c r="T91">
        <v>4</v>
      </c>
      <c r="U91" t="s">
        <v>45</v>
      </c>
      <c r="V91" t="s">
        <v>108</v>
      </c>
      <c r="W91" s="2">
        <v>46311.513888888891</v>
      </c>
      <c r="X91" t="s">
        <v>39</v>
      </c>
    </row>
    <row r="92" spans="1:24" x14ac:dyDescent="0.25">
      <c r="A92" t="s">
        <v>195</v>
      </c>
      <c r="B92" t="s">
        <v>186</v>
      </c>
      <c r="C92" t="s">
        <v>172</v>
      </c>
      <c r="D92" s="1">
        <v>46309</v>
      </c>
      <c r="E92" t="s">
        <v>77</v>
      </c>
      <c r="F92" t="s">
        <v>78</v>
      </c>
      <c r="G92" t="s">
        <v>85</v>
      </c>
      <c r="H92" t="s">
        <v>80</v>
      </c>
      <c r="I92" t="s">
        <v>31</v>
      </c>
      <c r="J92" t="s">
        <v>61</v>
      </c>
      <c r="K92" t="s">
        <v>138</v>
      </c>
      <c r="L92" t="s">
        <v>67</v>
      </c>
      <c r="M92" t="s">
        <v>45</v>
      </c>
      <c r="N92">
        <v>5</v>
      </c>
      <c r="O92">
        <v>4</v>
      </c>
      <c r="P92">
        <v>5</v>
      </c>
      <c r="Q92">
        <v>5</v>
      </c>
      <c r="R92" t="s">
        <v>51</v>
      </c>
      <c r="S92">
        <v>4</v>
      </c>
      <c r="T92">
        <v>8</v>
      </c>
      <c r="U92" t="s">
        <v>45</v>
      </c>
      <c r="V92" t="s">
        <v>121</v>
      </c>
      <c r="W92" s="2">
        <v>46310.599305555559</v>
      </c>
      <c r="X92" t="s">
        <v>39</v>
      </c>
    </row>
    <row r="93" spans="1:24" x14ac:dyDescent="0.25">
      <c r="A93" t="s">
        <v>196</v>
      </c>
      <c r="B93" t="s">
        <v>186</v>
      </c>
      <c r="C93" t="s">
        <v>172</v>
      </c>
      <c r="D93" s="1">
        <v>46309</v>
      </c>
      <c r="E93" t="s">
        <v>77</v>
      </c>
      <c r="F93" t="s">
        <v>78</v>
      </c>
      <c r="G93" t="s">
        <v>79</v>
      </c>
      <c r="H93" t="s">
        <v>80</v>
      </c>
      <c r="I93" t="s">
        <v>31</v>
      </c>
      <c r="J93" t="s">
        <v>128</v>
      </c>
      <c r="K93" t="s">
        <v>138</v>
      </c>
      <c r="L93" t="s">
        <v>34</v>
      </c>
      <c r="M93" t="s">
        <v>35</v>
      </c>
      <c r="N93">
        <v>5</v>
      </c>
      <c r="O93">
        <v>4</v>
      </c>
      <c r="P93">
        <v>4</v>
      </c>
      <c r="Q93">
        <v>4</v>
      </c>
      <c r="R93" t="s">
        <v>51</v>
      </c>
      <c r="S93">
        <v>3</v>
      </c>
      <c r="T93">
        <v>8</v>
      </c>
      <c r="U93" t="s">
        <v>45</v>
      </c>
      <c r="V93" t="s">
        <v>62</v>
      </c>
      <c r="W93" s="2">
        <v>46310.779861111114</v>
      </c>
      <c r="X93" t="s">
        <v>39</v>
      </c>
    </row>
    <row r="94" spans="1:24" x14ac:dyDescent="0.25">
      <c r="A94" t="s">
        <v>197</v>
      </c>
      <c r="B94" t="s">
        <v>186</v>
      </c>
      <c r="C94" t="s">
        <v>172</v>
      </c>
      <c r="D94" s="1">
        <v>46309</v>
      </c>
      <c r="E94" t="s">
        <v>77</v>
      </c>
      <c r="F94" t="s">
        <v>78</v>
      </c>
      <c r="G94" t="s">
        <v>79</v>
      </c>
      <c r="H94" t="s">
        <v>80</v>
      </c>
      <c r="I94" t="s">
        <v>31</v>
      </c>
      <c r="J94" t="s">
        <v>50</v>
      </c>
      <c r="K94" t="s">
        <v>33</v>
      </c>
      <c r="L94" t="s">
        <v>72</v>
      </c>
      <c r="M94" t="s">
        <v>45</v>
      </c>
      <c r="N94">
        <v>3</v>
      </c>
      <c r="O94">
        <v>3</v>
      </c>
      <c r="P94">
        <v>3</v>
      </c>
      <c r="R94" t="s">
        <v>46</v>
      </c>
      <c r="S94">
        <v>5</v>
      </c>
      <c r="T94">
        <v>6</v>
      </c>
      <c r="U94" t="s">
        <v>45</v>
      </c>
      <c r="W94" s="2">
        <v>46311.520138888889</v>
      </c>
      <c r="X94" t="s">
        <v>39</v>
      </c>
    </row>
    <row r="95" spans="1:24" x14ac:dyDescent="0.25">
      <c r="A95" t="s">
        <v>198</v>
      </c>
      <c r="B95" t="s">
        <v>186</v>
      </c>
      <c r="C95" t="s">
        <v>172</v>
      </c>
      <c r="D95" s="1">
        <v>46309</v>
      </c>
      <c r="E95" t="s">
        <v>77</v>
      </c>
      <c r="F95" t="s">
        <v>78</v>
      </c>
      <c r="G95" t="s">
        <v>83</v>
      </c>
      <c r="H95" t="s">
        <v>80</v>
      </c>
      <c r="I95" t="s">
        <v>31</v>
      </c>
      <c r="J95" t="s">
        <v>32</v>
      </c>
      <c r="K95" t="s">
        <v>33</v>
      </c>
      <c r="L95" t="s">
        <v>44</v>
      </c>
      <c r="M95" t="s">
        <v>45</v>
      </c>
      <c r="N95">
        <v>2</v>
      </c>
      <c r="O95">
        <v>3</v>
      </c>
      <c r="P95">
        <v>3</v>
      </c>
      <c r="Q95">
        <v>2</v>
      </c>
      <c r="R95" t="s">
        <v>36</v>
      </c>
      <c r="S95">
        <v>5</v>
      </c>
      <c r="T95">
        <v>4</v>
      </c>
      <c r="U95" t="s">
        <v>45</v>
      </c>
      <c r="V95" t="s">
        <v>130</v>
      </c>
      <c r="W95" s="2">
        <v>46310.359722222223</v>
      </c>
      <c r="X95" t="s">
        <v>39</v>
      </c>
    </row>
    <row r="96" spans="1:24" x14ac:dyDescent="0.25">
      <c r="A96" t="s">
        <v>199</v>
      </c>
      <c r="B96" t="s">
        <v>186</v>
      </c>
      <c r="C96" t="s">
        <v>172</v>
      </c>
      <c r="D96" s="1">
        <v>46309</v>
      </c>
      <c r="E96" t="s">
        <v>77</v>
      </c>
      <c r="F96" t="s">
        <v>78</v>
      </c>
      <c r="G96" t="s">
        <v>85</v>
      </c>
      <c r="H96" t="s">
        <v>80</v>
      </c>
      <c r="I96" t="s">
        <v>31</v>
      </c>
      <c r="J96" t="s">
        <v>32</v>
      </c>
      <c r="K96" t="s">
        <v>138</v>
      </c>
      <c r="L96" t="s">
        <v>72</v>
      </c>
      <c r="M96" t="s">
        <v>45</v>
      </c>
      <c r="N96">
        <v>5</v>
      </c>
      <c r="O96">
        <v>5</v>
      </c>
      <c r="P96">
        <v>4</v>
      </c>
      <c r="Q96">
        <v>5</v>
      </c>
      <c r="R96" t="s">
        <v>46</v>
      </c>
      <c r="S96">
        <v>5</v>
      </c>
      <c r="T96">
        <v>8</v>
      </c>
      <c r="U96" t="s">
        <v>45</v>
      </c>
      <c r="V96" t="s">
        <v>147</v>
      </c>
      <c r="W96" s="2">
        <v>46310.25277777778</v>
      </c>
      <c r="X96" t="s">
        <v>39</v>
      </c>
    </row>
    <row r="97" spans="1:24" x14ac:dyDescent="0.25">
      <c r="A97" t="s">
        <v>200</v>
      </c>
      <c r="B97" t="s">
        <v>201</v>
      </c>
      <c r="C97" t="s">
        <v>172</v>
      </c>
      <c r="D97" s="1">
        <v>46310</v>
      </c>
      <c r="E97" t="s">
        <v>102</v>
      </c>
      <c r="F97" t="s">
        <v>103</v>
      </c>
      <c r="G97" t="s">
        <v>112</v>
      </c>
      <c r="H97" t="s">
        <v>105</v>
      </c>
      <c r="I97" t="s">
        <v>31</v>
      </c>
      <c r="J97" t="s">
        <v>64</v>
      </c>
      <c r="K97" t="s">
        <v>55</v>
      </c>
      <c r="L97" t="s">
        <v>67</v>
      </c>
      <c r="M97" t="s">
        <v>35</v>
      </c>
      <c r="N97">
        <v>5</v>
      </c>
      <c r="O97">
        <v>5</v>
      </c>
      <c r="P97">
        <v>5</v>
      </c>
      <c r="Q97">
        <v>5</v>
      </c>
      <c r="R97" t="s">
        <v>36</v>
      </c>
      <c r="S97">
        <v>4</v>
      </c>
      <c r="T97">
        <v>10</v>
      </c>
      <c r="U97" t="s">
        <v>45</v>
      </c>
      <c r="V97" t="s">
        <v>59</v>
      </c>
      <c r="W97" s="2">
        <v>46312.445833333331</v>
      </c>
      <c r="X97" t="s">
        <v>39</v>
      </c>
    </row>
    <row r="98" spans="1:24" x14ac:dyDescent="0.25">
      <c r="A98" t="s">
        <v>202</v>
      </c>
      <c r="B98" t="s">
        <v>201</v>
      </c>
      <c r="C98" t="s">
        <v>172</v>
      </c>
      <c r="D98" s="1">
        <v>46310</v>
      </c>
      <c r="E98" t="s">
        <v>102</v>
      </c>
      <c r="F98" t="s">
        <v>103</v>
      </c>
      <c r="G98" t="s">
        <v>110</v>
      </c>
      <c r="H98" t="s">
        <v>105</v>
      </c>
      <c r="I98" t="s">
        <v>31</v>
      </c>
      <c r="J98" t="s">
        <v>32</v>
      </c>
      <c r="K98" t="s">
        <v>65</v>
      </c>
      <c r="L98" t="s">
        <v>58</v>
      </c>
      <c r="M98" t="s">
        <v>45</v>
      </c>
      <c r="N98">
        <v>5</v>
      </c>
      <c r="O98">
        <v>4</v>
      </c>
      <c r="P98">
        <v>5</v>
      </c>
      <c r="R98" t="s">
        <v>46</v>
      </c>
      <c r="S98">
        <v>5</v>
      </c>
      <c r="T98">
        <v>10</v>
      </c>
      <c r="U98" t="s">
        <v>45</v>
      </c>
      <c r="V98" t="s">
        <v>95</v>
      </c>
      <c r="W98" s="2">
        <v>46310.724305555559</v>
      </c>
      <c r="X98" t="s">
        <v>39</v>
      </c>
    </row>
    <row r="99" spans="1:24" x14ac:dyDescent="0.25">
      <c r="A99" t="s">
        <v>203</v>
      </c>
      <c r="B99" t="s">
        <v>201</v>
      </c>
      <c r="C99" t="s">
        <v>172</v>
      </c>
      <c r="D99" s="1">
        <v>46310</v>
      </c>
      <c r="E99" t="s">
        <v>102</v>
      </c>
      <c r="F99" t="s">
        <v>103</v>
      </c>
      <c r="G99" t="s">
        <v>112</v>
      </c>
      <c r="H99" t="s">
        <v>105</v>
      </c>
      <c r="I99" t="s">
        <v>31</v>
      </c>
      <c r="J99" t="s">
        <v>81</v>
      </c>
      <c r="K99" t="s">
        <v>138</v>
      </c>
      <c r="L99" t="s">
        <v>67</v>
      </c>
      <c r="M99" t="s">
        <v>45</v>
      </c>
      <c r="N99">
        <v>5</v>
      </c>
      <c r="O99">
        <v>5</v>
      </c>
      <c r="P99">
        <v>4</v>
      </c>
      <c r="Q99">
        <v>5</v>
      </c>
      <c r="R99" t="s">
        <v>51</v>
      </c>
      <c r="S99">
        <v>5</v>
      </c>
      <c r="T99">
        <v>10</v>
      </c>
      <c r="U99" t="s">
        <v>37</v>
      </c>
      <c r="V99" t="s">
        <v>52</v>
      </c>
      <c r="W99" s="2">
        <v>46311.536111111112</v>
      </c>
      <c r="X99" t="s">
        <v>39</v>
      </c>
    </row>
    <row r="100" spans="1:24" x14ac:dyDescent="0.25">
      <c r="A100" t="s">
        <v>204</v>
      </c>
      <c r="B100" t="s">
        <v>201</v>
      </c>
      <c r="C100" t="s">
        <v>172</v>
      </c>
      <c r="D100" s="1">
        <v>46310</v>
      </c>
      <c r="E100" t="s">
        <v>102</v>
      </c>
      <c r="F100" t="s">
        <v>103</v>
      </c>
      <c r="G100" t="s">
        <v>104</v>
      </c>
      <c r="H100" t="s">
        <v>105</v>
      </c>
      <c r="I100" t="s">
        <v>31</v>
      </c>
      <c r="J100" t="s">
        <v>163</v>
      </c>
      <c r="K100" t="s">
        <v>65</v>
      </c>
      <c r="L100" t="s">
        <v>34</v>
      </c>
      <c r="M100" t="s">
        <v>45</v>
      </c>
      <c r="N100">
        <v>4</v>
      </c>
      <c r="O100">
        <v>5</v>
      </c>
      <c r="P100">
        <v>5</v>
      </c>
      <c r="Q100">
        <v>4</v>
      </c>
      <c r="R100" t="s">
        <v>51</v>
      </c>
      <c r="S100">
        <v>5</v>
      </c>
      <c r="T100">
        <v>10</v>
      </c>
      <c r="U100" t="s">
        <v>45</v>
      </c>
      <c r="V100" t="s">
        <v>95</v>
      </c>
      <c r="W100" s="2">
        <v>46310.552083333336</v>
      </c>
      <c r="X100" t="s">
        <v>39</v>
      </c>
    </row>
    <row r="101" spans="1:24" x14ac:dyDescent="0.25">
      <c r="A101" t="s">
        <v>205</v>
      </c>
      <c r="B101" t="s">
        <v>201</v>
      </c>
      <c r="C101" t="s">
        <v>172</v>
      </c>
      <c r="D101" s="1">
        <v>46310</v>
      </c>
      <c r="E101" t="s">
        <v>102</v>
      </c>
      <c r="F101" t="s">
        <v>103</v>
      </c>
      <c r="G101" t="s">
        <v>104</v>
      </c>
      <c r="H101" t="s">
        <v>105</v>
      </c>
      <c r="I101" t="s">
        <v>31</v>
      </c>
      <c r="J101" t="s">
        <v>81</v>
      </c>
      <c r="K101" t="s">
        <v>33</v>
      </c>
      <c r="L101" t="s">
        <v>44</v>
      </c>
      <c r="M101" t="s">
        <v>45</v>
      </c>
      <c r="N101">
        <v>2</v>
      </c>
      <c r="O101">
        <v>4</v>
      </c>
      <c r="P101">
        <v>4</v>
      </c>
      <c r="Q101">
        <v>3</v>
      </c>
      <c r="R101" t="s">
        <v>51</v>
      </c>
      <c r="S101">
        <v>5</v>
      </c>
      <c r="T101">
        <v>6</v>
      </c>
      <c r="U101" t="s">
        <v>45</v>
      </c>
      <c r="V101" t="s">
        <v>167</v>
      </c>
      <c r="W101" s="2">
        <v>46310.637499999997</v>
      </c>
      <c r="X101" t="s">
        <v>39</v>
      </c>
    </row>
    <row r="102" spans="1:24" x14ac:dyDescent="0.25">
      <c r="A102" t="s">
        <v>206</v>
      </c>
      <c r="B102" t="s">
        <v>201</v>
      </c>
      <c r="C102" t="s">
        <v>172</v>
      </c>
      <c r="D102" s="1">
        <v>46310</v>
      </c>
      <c r="E102" t="s">
        <v>102</v>
      </c>
      <c r="F102" t="s">
        <v>103</v>
      </c>
      <c r="G102" t="s">
        <v>104</v>
      </c>
      <c r="H102" t="s">
        <v>105</v>
      </c>
      <c r="I102" t="s">
        <v>31</v>
      </c>
      <c r="J102" t="s">
        <v>64</v>
      </c>
      <c r="K102" t="s">
        <v>33</v>
      </c>
      <c r="L102" t="s">
        <v>44</v>
      </c>
      <c r="M102" t="s">
        <v>45</v>
      </c>
      <c r="N102">
        <v>5</v>
      </c>
      <c r="O102">
        <v>5</v>
      </c>
      <c r="P102">
        <v>5</v>
      </c>
      <c r="Q102">
        <v>5</v>
      </c>
      <c r="R102" t="s">
        <v>51</v>
      </c>
      <c r="S102">
        <v>5</v>
      </c>
      <c r="T102">
        <v>8</v>
      </c>
      <c r="U102" t="s">
        <v>37</v>
      </c>
      <c r="V102" t="s">
        <v>52</v>
      </c>
      <c r="W102" s="2">
        <v>46310.706250000003</v>
      </c>
      <c r="X102" t="s">
        <v>39</v>
      </c>
    </row>
    <row r="103" spans="1:24" x14ac:dyDescent="0.25">
      <c r="A103" t="s">
        <v>207</v>
      </c>
      <c r="B103" t="s">
        <v>201</v>
      </c>
      <c r="C103" t="s">
        <v>172</v>
      </c>
      <c r="D103" s="1">
        <v>46310</v>
      </c>
      <c r="E103" t="s">
        <v>102</v>
      </c>
      <c r="F103" t="s">
        <v>103</v>
      </c>
      <c r="G103" t="s">
        <v>110</v>
      </c>
      <c r="H103" t="s">
        <v>105</v>
      </c>
      <c r="I103" t="s">
        <v>31</v>
      </c>
      <c r="J103" t="s">
        <v>64</v>
      </c>
      <c r="K103" t="s">
        <v>138</v>
      </c>
      <c r="L103" t="s">
        <v>34</v>
      </c>
      <c r="M103" t="s">
        <v>45</v>
      </c>
      <c r="N103">
        <v>5</v>
      </c>
      <c r="O103">
        <v>5</v>
      </c>
      <c r="P103">
        <v>5</v>
      </c>
      <c r="Q103">
        <v>5</v>
      </c>
      <c r="R103" t="s">
        <v>46</v>
      </c>
      <c r="S103">
        <v>5</v>
      </c>
      <c r="T103">
        <v>10</v>
      </c>
      <c r="U103" t="s">
        <v>45</v>
      </c>
      <c r="V103" t="s">
        <v>147</v>
      </c>
      <c r="W103" s="2">
        <v>46312.456250000003</v>
      </c>
      <c r="X103" t="s">
        <v>39</v>
      </c>
    </row>
    <row r="104" spans="1:24" x14ac:dyDescent="0.25">
      <c r="A104" t="s">
        <v>208</v>
      </c>
      <c r="B104" t="s">
        <v>201</v>
      </c>
      <c r="C104" t="s">
        <v>172</v>
      </c>
      <c r="D104" s="1">
        <v>46310</v>
      </c>
      <c r="E104" t="s">
        <v>102</v>
      </c>
      <c r="F104" t="s">
        <v>103</v>
      </c>
      <c r="G104" t="s">
        <v>110</v>
      </c>
      <c r="H104" t="s">
        <v>105</v>
      </c>
      <c r="I104" t="s">
        <v>31</v>
      </c>
      <c r="J104" t="s">
        <v>71</v>
      </c>
      <c r="K104" t="s">
        <v>65</v>
      </c>
      <c r="L104" t="s">
        <v>72</v>
      </c>
      <c r="M104" t="s">
        <v>45</v>
      </c>
      <c r="N104">
        <v>5</v>
      </c>
      <c r="O104">
        <v>4</v>
      </c>
      <c r="P104">
        <v>5</v>
      </c>
      <c r="Q104">
        <v>4</v>
      </c>
      <c r="R104" t="s">
        <v>51</v>
      </c>
      <c r="S104">
        <v>3</v>
      </c>
      <c r="T104">
        <v>9</v>
      </c>
      <c r="U104" t="s">
        <v>45</v>
      </c>
      <c r="V104" t="s">
        <v>52</v>
      </c>
      <c r="W104" s="2">
        <v>46311.431250000001</v>
      </c>
      <c r="X104" t="s">
        <v>39</v>
      </c>
    </row>
    <row r="105" spans="1:24" x14ac:dyDescent="0.25">
      <c r="A105" t="s">
        <v>209</v>
      </c>
      <c r="B105" t="s">
        <v>201</v>
      </c>
      <c r="C105" t="s">
        <v>172</v>
      </c>
      <c r="D105" s="1">
        <v>46310</v>
      </c>
      <c r="E105" t="s">
        <v>102</v>
      </c>
      <c r="F105" t="s">
        <v>103</v>
      </c>
      <c r="G105" t="s">
        <v>110</v>
      </c>
      <c r="H105" t="s">
        <v>105</v>
      </c>
      <c r="I105" t="s">
        <v>31</v>
      </c>
      <c r="J105" t="s">
        <v>128</v>
      </c>
      <c r="K105" t="s">
        <v>65</v>
      </c>
      <c r="L105" t="s">
        <v>44</v>
      </c>
      <c r="M105" t="s">
        <v>45</v>
      </c>
      <c r="N105">
        <v>3</v>
      </c>
      <c r="O105">
        <v>3</v>
      </c>
      <c r="P105">
        <v>4</v>
      </c>
      <c r="Q105">
        <v>3</v>
      </c>
      <c r="R105" t="s">
        <v>36</v>
      </c>
      <c r="S105">
        <v>3</v>
      </c>
      <c r="T105">
        <v>6</v>
      </c>
      <c r="U105" t="s">
        <v>45</v>
      </c>
      <c r="V105" t="s">
        <v>47</v>
      </c>
      <c r="W105" s="2">
        <v>46310.566666666666</v>
      </c>
      <c r="X105" t="s">
        <v>39</v>
      </c>
    </row>
    <row r="106" spans="1:24" x14ac:dyDescent="0.25">
      <c r="A106" t="s">
        <v>210</v>
      </c>
      <c r="B106" t="s">
        <v>211</v>
      </c>
      <c r="C106" t="s">
        <v>212</v>
      </c>
      <c r="D106" s="1">
        <v>46314</v>
      </c>
      <c r="E106" t="s">
        <v>27</v>
      </c>
      <c r="F106" t="s">
        <v>28</v>
      </c>
      <c r="G106" t="s">
        <v>54</v>
      </c>
      <c r="H106" t="s">
        <v>30</v>
      </c>
      <c r="I106" t="s">
        <v>31</v>
      </c>
      <c r="J106" t="s">
        <v>98</v>
      </c>
      <c r="K106" t="s">
        <v>138</v>
      </c>
      <c r="L106" t="s">
        <v>44</v>
      </c>
      <c r="M106" t="s">
        <v>45</v>
      </c>
      <c r="N106">
        <v>5</v>
      </c>
      <c r="O106">
        <v>4</v>
      </c>
      <c r="P106">
        <v>4</v>
      </c>
      <c r="Q106">
        <v>5</v>
      </c>
      <c r="R106" t="s">
        <v>46</v>
      </c>
      <c r="S106">
        <v>3</v>
      </c>
      <c r="T106">
        <v>7</v>
      </c>
      <c r="U106" t="s">
        <v>45</v>
      </c>
      <c r="V106" t="s">
        <v>91</v>
      </c>
      <c r="W106" s="2">
        <v>46315.310416666667</v>
      </c>
      <c r="X106" t="s">
        <v>39</v>
      </c>
    </row>
    <row r="107" spans="1:24" x14ac:dyDescent="0.25">
      <c r="A107" t="s">
        <v>213</v>
      </c>
      <c r="B107" t="s">
        <v>211</v>
      </c>
      <c r="C107" t="s">
        <v>212</v>
      </c>
      <c r="D107" s="1">
        <v>46314</v>
      </c>
      <c r="E107" t="s">
        <v>27</v>
      </c>
      <c r="F107" t="s">
        <v>28</v>
      </c>
      <c r="G107" t="s">
        <v>132</v>
      </c>
      <c r="H107" t="s">
        <v>30</v>
      </c>
      <c r="I107" t="s">
        <v>31</v>
      </c>
      <c r="J107" t="s">
        <v>50</v>
      </c>
      <c r="K107" t="s">
        <v>43</v>
      </c>
      <c r="L107" t="s">
        <v>72</v>
      </c>
      <c r="M107" t="s">
        <v>35</v>
      </c>
      <c r="N107">
        <v>3</v>
      </c>
      <c r="O107">
        <v>4</v>
      </c>
      <c r="P107">
        <v>3</v>
      </c>
      <c r="Q107">
        <v>5</v>
      </c>
      <c r="R107" t="s">
        <v>51</v>
      </c>
      <c r="S107">
        <v>3</v>
      </c>
      <c r="T107">
        <v>8</v>
      </c>
      <c r="U107" t="s">
        <v>45</v>
      </c>
      <c r="W107" s="2">
        <v>46314.513888888891</v>
      </c>
      <c r="X107" t="s">
        <v>39</v>
      </c>
    </row>
    <row r="108" spans="1:24" x14ac:dyDescent="0.25">
      <c r="A108" t="s">
        <v>214</v>
      </c>
      <c r="B108" t="s">
        <v>211</v>
      </c>
      <c r="C108" t="s">
        <v>212</v>
      </c>
      <c r="D108" s="1">
        <v>46314</v>
      </c>
      <c r="E108" t="s">
        <v>27</v>
      </c>
      <c r="F108" t="s">
        <v>28</v>
      </c>
      <c r="G108" t="s">
        <v>132</v>
      </c>
      <c r="H108" t="s">
        <v>30</v>
      </c>
      <c r="I108" t="s">
        <v>31</v>
      </c>
      <c r="J108" t="s">
        <v>128</v>
      </c>
      <c r="K108" t="s">
        <v>138</v>
      </c>
      <c r="L108" t="s">
        <v>58</v>
      </c>
      <c r="M108" t="s">
        <v>45</v>
      </c>
      <c r="N108">
        <v>4</v>
      </c>
      <c r="O108">
        <v>5</v>
      </c>
      <c r="P108">
        <v>5</v>
      </c>
      <c r="Q108">
        <v>5</v>
      </c>
      <c r="R108" t="s">
        <v>51</v>
      </c>
      <c r="S108">
        <v>5</v>
      </c>
      <c r="T108">
        <v>8</v>
      </c>
      <c r="U108" t="s">
        <v>37</v>
      </c>
      <c r="W108" s="2">
        <v>46314.565972222219</v>
      </c>
      <c r="X108" t="s">
        <v>39</v>
      </c>
    </row>
    <row r="109" spans="1:24" x14ac:dyDescent="0.25">
      <c r="A109" t="s">
        <v>215</v>
      </c>
      <c r="B109" t="s">
        <v>211</v>
      </c>
      <c r="C109" t="s">
        <v>212</v>
      </c>
      <c r="D109" s="1">
        <v>46314</v>
      </c>
      <c r="E109" t="s">
        <v>27</v>
      </c>
      <c r="F109" t="s">
        <v>28</v>
      </c>
      <c r="G109" t="s">
        <v>41</v>
      </c>
      <c r="H109" t="s">
        <v>30</v>
      </c>
      <c r="I109" t="s">
        <v>31</v>
      </c>
      <c r="J109" t="s">
        <v>86</v>
      </c>
      <c r="K109" t="s">
        <v>33</v>
      </c>
      <c r="L109" t="s">
        <v>67</v>
      </c>
      <c r="M109" t="s">
        <v>45</v>
      </c>
      <c r="N109">
        <v>4</v>
      </c>
      <c r="O109">
        <v>5</v>
      </c>
      <c r="P109">
        <v>4</v>
      </c>
      <c r="Q109">
        <v>5</v>
      </c>
      <c r="R109" t="s">
        <v>46</v>
      </c>
      <c r="S109">
        <v>5</v>
      </c>
      <c r="T109">
        <v>10</v>
      </c>
      <c r="U109" t="s">
        <v>45</v>
      </c>
      <c r="V109" t="s">
        <v>91</v>
      </c>
      <c r="W109" s="2">
        <v>46315.772222222222</v>
      </c>
      <c r="X109" t="s">
        <v>39</v>
      </c>
    </row>
    <row r="110" spans="1:24" x14ac:dyDescent="0.25">
      <c r="A110" t="s">
        <v>216</v>
      </c>
      <c r="B110" t="s">
        <v>211</v>
      </c>
      <c r="C110" t="s">
        <v>212</v>
      </c>
      <c r="D110" s="1">
        <v>46314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  <c r="J110" t="s">
        <v>107</v>
      </c>
      <c r="K110" t="s">
        <v>65</v>
      </c>
      <c r="L110" t="s">
        <v>67</v>
      </c>
      <c r="M110" t="s">
        <v>45</v>
      </c>
      <c r="N110">
        <v>4</v>
      </c>
      <c r="O110">
        <v>5</v>
      </c>
      <c r="P110">
        <v>5</v>
      </c>
      <c r="Q110">
        <v>5</v>
      </c>
      <c r="R110" t="s">
        <v>51</v>
      </c>
      <c r="S110">
        <v>5</v>
      </c>
      <c r="T110">
        <v>9</v>
      </c>
      <c r="U110" t="s">
        <v>45</v>
      </c>
      <c r="V110" t="s">
        <v>59</v>
      </c>
      <c r="W110" s="2">
        <v>46316.638888888891</v>
      </c>
      <c r="X110" t="s">
        <v>39</v>
      </c>
    </row>
    <row r="111" spans="1:24" x14ac:dyDescent="0.25">
      <c r="A111" t="s">
        <v>217</v>
      </c>
      <c r="B111" t="s">
        <v>211</v>
      </c>
      <c r="C111" t="s">
        <v>212</v>
      </c>
      <c r="D111" s="1">
        <v>46314</v>
      </c>
      <c r="E111" t="s">
        <v>27</v>
      </c>
      <c r="F111" t="s">
        <v>28</v>
      </c>
      <c r="G111" t="s">
        <v>41</v>
      </c>
      <c r="H111" t="s">
        <v>30</v>
      </c>
      <c r="I111" t="s">
        <v>31</v>
      </c>
      <c r="J111" t="s">
        <v>50</v>
      </c>
      <c r="K111" t="s">
        <v>55</v>
      </c>
      <c r="L111" t="s">
        <v>58</v>
      </c>
      <c r="M111" t="s">
        <v>45</v>
      </c>
      <c r="N111">
        <v>5</v>
      </c>
      <c r="O111">
        <v>5</v>
      </c>
      <c r="Q111">
        <v>5</v>
      </c>
      <c r="R111" t="s">
        <v>51</v>
      </c>
      <c r="S111">
        <v>5</v>
      </c>
      <c r="T111">
        <v>10</v>
      </c>
      <c r="U111" t="s">
        <v>37</v>
      </c>
      <c r="V111" t="s">
        <v>52</v>
      </c>
      <c r="W111" s="2">
        <v>46316.463194444441</v>
      </c>
      <c r="X111" t="s">
        <v>39</v>
      </c>
    </row>
    <row r="112" spans="1:24" x14ac:dyDescent="0.25">
      <c r="A112" t="s">
        <v>218</v>
      </c>
      <c r="B112" t="s">
        <v>211</v>
      </c>
      <c r="C112" t="s">
        <v>212</v>
      </c>
      <c r="D112" s="1">
        <v>46314</v>
      </c>
      <c r="E112" t="s">
        <v>27</v>
      </c>
      <c r="F112" t="s">
        <v>28</v>
      </c>
      <c r="G112" t="s">
        <v>41</v>
      </c>
      <c r="H112" t="s">
        <v>30</v>
      </c>
      <c r="I112" t="s">
        <v>31</v>
      </c>
      <c r="J112" t="s">
        <v>86</v>
      </c>
      <c r="K112" t="s">
        <v>33</v>
      </c>
      <c r="L112" t="s">
        <v>44</v>
      </c>
      <c r="M112" t="s">
        <v>35</v>
      </c>
      <c r="N112">
        <v>2</v>
      </c>
      <c r="O112">
        <v>2</v>
      </c>
      <c r="P112">
        <v>3</v>
      </c>
      <c r="Q112">
        <v>2</v>
      </c>
      <c r="R112" t="s">
        <v>51</v>
      </c>
      <c r="S112">
        <v>4</v>
      </c>
      <c r="T112">
        <v>5</v>
      </c>
      <c r="U112" t="s">
        <v>45</v>
      </c>
      <c r="V112" t="s">
        <v>130</v>
      </c>
      <c r="W112" s="2">
        <v>46315.417361111111</v>
      </c>
      <c r="X112" t="s">
        <v>39</v>
      </c>
    </row>
    <row r="113" spans="1:24" x14ac:dyDescent="0.25">
      <c r="A113" t="s">
        <v>219</v>
      </c>
      <c r="B113" t="s">
        <v>211</v>
      </c>
      <c r="C113" t="s">
        <v>212</v>
      </c>
      <c r="D113" s="1">
        <v>46314</v>
      </c>
      <c r="E113" t="s">
        <v>27</v>
      </c>
      <c r="F113" t="s">
        <v>28</v>
      </c>
      <c r="G113" t="s">
        <v>54</v>
      </c>
      <c r="H113" t="s">
        <v>30</v>
      </c>
      <c r="I113" t="s">
        <v>31</v>
      </c>
      <c r="J113" t="s">
        <v>98</v>
      </c>
      <c r="K113" t="s">
        <v>33</v>
      </c>
      <c r="L113" t="s">
        <v>44</v>
      </c>
      <c r="M113" t="s">
        <v>45</v>
      </c>
      <c r="N113">
        <v>4</v>
      </c>
      <c r="O113">
        <v>5</v>
      </c>
      <c r="P113">
        <v>5</v>
      </c>
      <c r="Q113">
        <v>5</v>
      </c>
      <c r="R113" t="s">
        <v>51</v>
      </c>
      <c r="S113">
        <v>3</v>
      </c>
      <c r="T113">
        <v>10</v>
      </c>
      <c r="U113" t="s">
        <v>45</v>
      </c>
      <c r="V113" t="s">
        <v>147</v>
      </c>
      <c r="W113" s="2">
        <v>46314.523611111108</v>
      </c>
      <c r="X113" t="s">
        <v>39</v>
      </c>
    </row>
    <row r="114" spans="1:24" x14ac:dyDescent="0.25">
      <c r="A114" t="s">
        <v>220</v>
      </c>
      <c r="B114" t="s">
        <v>211</v>
      </c>
      <c r="C114" t="s">
        <v>212</v>
      </c>
      <c r="D114" s="1">
        <v>46314</v>
      </c>
      <c r="E114" t="s">
        <v>27</v>
      </c>
      <c r="F114" t="s">
        <v>28</v>
      </c>
      <c r="G114" t="s">
        <v>41</v>
      </c>
      <c r="H114" t="s">
        <v>30</v>
      </c>
      <c r="I114" t="s">
        <v>31</v>
      </c>
      <c r="J114" t="s">
        <v>71</v>
      </c>
      <c r="K114" t="s">
        <v>65</v>
      </c>
      <c r="L114" t="s">
        <v>58</v>
      </c>
      <c r="M114" t="s">
        <v>45</v>
      </c>
      <c r="N114">
        <v>3</v>
      </c>
      <c r="O114">
        <v>2</v>
      </c>
      <c r="P114">
        <v>3</v>
      </c>
      <c r="Q114">
        <v>2</v>
      </c>
      <c r="R114" t="s">
        <v>51</v>
      </c>
      <c r="S114">
        <v>5</v>
      </c>
      <c r="T114">
        <v>6</v>
      </c>
      <c r="U114" t="s">
        <v>45</v>
      </c>
      <c r="V114" t="s">
        <v>69</v>
      </c>
      <c r="W114" s="2">
        <v>46316.388888888891</v>
      </c>
      <c r="X114" t="s">
        <v>39</v>
      </c>
    </row>
    <row r="115" spans="1:24" x14ac:dyDescent="0.25">
      <c r="A115" t="s">
        <v>221</v>
      </c>
      <c r="B115" t="s">
        <v>211</v>
      </c>
      <c r="C115" t="s">
        <v>212</v>
      </c>
      <c r="D115" s="1">
        <v>46314</v>
      </c>
      <c r="E115" t="s">
        <v>27</v>
      </c>
      <c r="F115" t="s">
        <v>28</v>
      </c>
      <c r="G115" t="s">
        <v>41</v>
      </c>
      <c r="H115" t="s">
        <v>30</v>
      </c>
      <c r="I115" t="s">
        <v>31</v>
      </c>
      <c r="J115" t="s">
        <v>71</v>
      </c>
      <c r="K115" t="s">
        <v>33</v>
      </c>
      <c r="L115" t="s">
        <v>44</v>
      </c>
      <c r="M115" t="s">
        <v>45</v>
      </c>
      <c r="N115">
        <v>4</v>
      </c>
      <c r="O115">
        <v>4</v>
      </c>
      <c r="P115">
        <v>4</v>
      </c>
      <c r="Q115">
        <v>4</v>
      </c>
      <c r="R115" t="s">
        <v>51</v>
      </c>
      <c r="S115">
        <v>4</v>
      </c>
      <c r="T115">
        <v>8</v>
      </c>
      <c r="U115" t="s">
        <v>45</v>
      </c>
      <c r="V115" t="s">
        <v>62</v>
      </c>
      <c r="W115" s="2">
        <v>46314.664583333331</v>
      </c>
      <c r="X115" t="s">
        <v>39</v>
      </c>
    </row>
    <row r="116" spans="1:24" x14ac:dyDescent="0.25">
      <c r="A116" t="s">
        <v>222</v>
      </c>
      <c r="B116" t="s">
        <v>211</v>
      </c>
      <c r="C116" t="s">
        <v>212</v>
      </c>
      <c r="D116" s="1">
        <v>46314</v>
      </c>
      <c r="E116" t="s">
        <v>27</v>
      </c>
      <c r="F116" t="s">
        <v>28</v>
      </c>
      <c r="G116" t="s">
        <v>132</v>
      </c>
      <c r="H116" t="s">
        <v>30</v>
      </c>
      <c r="I116" t="s">
        <v>31</v>
      </c>
      <c r="J116" t="s">
        <v>86</v>
      </c>
      <c r="K116" t="s">
        <v>138</v>
      </c>
      <c r="L116" t="s">
        <v>34</v>
      </c>
      <c r="M116" t="s">
        <v>45</v>
      </c>
      <c r="N116">
        <v>4</v>
      </c>
      <c r="O116">
        <v>4</v>
      </c>
      <c r="P116">
        <v>5</v>
      </c>
      <c r="Q116">
        <v>4</v>
      </c>
      <c r="R116" t="s">
        <v>46</v>
      </c>
      <c r="S116">
        <v>4</v>
      </c>
      <c r="T116">
        <v>9</v>
      </c>
      <c r="U116" t="s">
        <v>45</v>
      </c>
      <c r="W116" s="2">
        <v>46314.6875</v>
      </c>
      <c r="X116" t="s">
        <v>39</v>
      </c>
    </row>
    <row r="117" spans="1:24" x14ac:dyDescent="0.25">
      <c r="A117" t="s">
        <v>223</v>
      </c>
      <c r="B117" t="s">
        <v>211</v>
      </c>
      <c r="C117" t="s">
        <v>212</v>
      </c>
      <c r="D117" s="1">
        <v>46314</v>
      </c>
      <c r="E117" t="s">
        <v>27</v>
      </c>
      <c r="F117" t="s">
        <v>28</v>
      </c>
      <c r="G117" t="s">
        <v>29</v>
      </c>
      <c r="H117" t="s">
        <v>30</v>
      </c>
      <c r="I117" t="s">
        <v>31</v>
      </c>
      <c r="J117" t="s">
        <v>128</v>
      </c>
      <c r="K117" t="s">
        <v>65</v>
      </c>
      <c r="L117" t="s">
        <v>34</v>
      </c>
      <c r="M117" t="s">
        <v>45</v>
      </c>
      <c r="N117">
        <v>3</v>
      </c>
      <c r="O117">
        <v>4</v>
      </c>
      <c r="P117">
        <v>3</v>
      </c>
      <c r="Q117">
        <v>4</v>
      </c>
      <c r="R117" t="s">
        <v>36</v>
      </c>
      <c r="S117">
        <v>4</v>
      </c>
      <c r="T117">
        <v>6</v>
      </c>
      <c r="U117" t="s">
        <v>45</v>
      </c>
      <c r="W117" s="2">
        <v>46316.467361111114</v>
      </c>
      <c r="X117" t="s">
        <v>39</v>
      </c>
    </row>
    <row r="118" spans="1:24" x14ac:dyDescent="0.25">
      <c r="A118" t="s">
        <v>224</v>
      </c>
      <c r="B118" t="s">
        <v>211</v>
      </c>
      <c r="C118" t="s">
        <v>212</v>
      </c>
      <c r="D118" s="1">
        <v>46314</v>
      </c>
      <c r="E118" t="s">
        <v>27</v>
      </c>
      <c r="F118" t="s">
        <v>28</v>
      </c>
      <c r="G118" t="s">
        <v>41</v>
      </c>
      <c r="H118" t="s">
        <v>30</v>
      </c>
      <c r="I118" t="s">
        <v>31</v>
      </c>
      <c r="J118" t="s">
        <v>163</v>
      </c>
      <c r="K118" t="s">
        <v>33</v>
      </c>
      <c r="L118" t="s">
        <v>72</v>
      </c>
      <c r="M118" t="s">
        <v>45</v>
      </c>
      <c r="N118">
        <v>4</v>
      </c>
      <c r="O118">
        <v>4</v>
      </c>
      <c r="P118">
        <v>4</v>
      </c>
      <c r="Q118">
        <v>4</v>
      </c>
      <c r="R118" t="s">
        <v>51</v>
      </c>
      <c r="S118">
        <v>4</v>
      </c>
      <c r="T118">
        <v>9</v>
      </c>
      <c r="U118" t="s">
        <v>45</v>
      </c>
      <c r="V118" t="s">
        <v>95</v>
      </c>
      <c r="W118" s="2">
        <v>46314.48541666667</v>
      </c>
      <c r="X118" t="s">
        <v>39</v>
      </c>
    </row>
    <row r="119" spans="1:24" x14ac:dyDescent="0.25">
      <c r="A119" t="s">
        <v>225</v>
      </c>
      <c r="B119" t="s">
        <v>211</v>
      </c>
      <c r="C119" t="s">
        <v>212</v>
      </c>
      <c r="D119" s="1">
        <v>46314</v>
      </c>
      <c r="E119" t="s">
        <v>27</v>
      </c>
      <c r="F119" t="s">
        <v>28</v>
      </c>
      <c r="G119" t="s">
        <v>49</v>
      </c>
      <c r="H119" t="s">
        <v>30</v>
      </c>
      <c r="I119" t="s">
        <v>31</v>
      </c>
      <c r="J119" t="s">
        <v>128</v>
      </c>
      <c r="K119" t="s">
        <v>138</v>
      </c>
      <c r="L119" t="s">
        <v>67</v>
      </c>
      <c r="M119" t="s">
        <v>45</v>
      </c>
      <c r="N119">
        <v>4</v>
      </c>
      <c r="O119">
        <v>4</v>
      </c>
      <c r="P119">
        <v>5</v>
      </c>
      <c r="Q119">
        <v>4</v>
      </c>
      <c r="R119" t="s">
        <v>51</v>
      </c>
      <c r="S119">
        <v>4</v>
      </c>
      <c r="T119">
        <v>7</v>
      </c>
      <c r="U119" t="s">
        <v>45</v>
      </c>
      <c r="V119" t="s">
        <v>147</v>
      </c>
      <c r="W119" s="2">
        <v>46314.756944444445</v>
      </c>
      <c r="X119" t="s">
        <v>39</v>
      </c>
    </row>
    <row r="120" spans="1:24" x14ac:dyDescent="0.25">
      <c r="A120" t="s">
        <v>226</v>
      </c>
      <c r="B120" t="s">
        <v>227</v>
      </c>
      <c r="C120" t="s">
        <v>212</v>
      </c>
      <c r="D120" s="1">
        <v>46314</v>
      </c>
      <c r="E120" t="s">
        <v>77</v>
      </c>
      <c r="F120" t="s">
        <v>78</v>
      </c>
      <c r="G120" t="s">
        <v>79</v>
      </c>
      <c r="H120" t="s">
        <v>80</v>
      </c>
      <c r="I120" t="s">
        <v>31</v>
      </c>
      <c r="J120" t="s">
        <v>61</v>
      </c>
      <c r="K120" t="s">
        <v>55</v>
      </c>
      <c r="L120" t="s">
        <v>34</v>
      </c>
      <c r="M120" t="s">
        <v>45</v>
      </c>
      <c r="N120">
        <v>3</v>
      </c>
      <c r="O120">
        <v>4</v>
      </c>
      <c r="P120">
        <v>4</v>
      </c>
      <c r="R120" t="s">
        <v>51</v>
      </c>
      <c r="S120">
        <v>4</v>
      </c>
      <c r="T120">
        <v>7</v>
      </c>
      <c r="U120" t="s">
        <v>37</v>
      </c>
      <c r="W120" s="2">
        <v>46314.606249999997</v>
      </c>
      <c r="X120" t="s">
        <v>39</v>
      </c>
    </row>
    <row r="121" spans="1:24" x14ac:dyDescent="0.25">
      <c r="A121" t="s">
        <v>228</v>
      </c>
      <c r="B121" t="s">
        <v>227</v>
      </c>
      <c r="C121" t="s">
        <v>212</v>
      </c>
      <c r="D121" s="1">
        <v>46314</v>
      </c>
      <c r="E121" t="s">
        <v>77</v>
      </c>
      <c r="F121" t="s">
        <v>78</v>
      </c>
      <c r="G121" t="s">
        <v>85</v>
      </c>
      <c r="H121" t="s">
        <v>80</v>
      </c>
      <c r="I121" t="s">
        <v>31</v>
      </c>
      <c r="J121" t="s">
        <v>107</v>
      </c>
      <c r="K121" t="s">
        <v>138</v>
      </c>
      <c r="L121" t="s">
        <v>58</v>
      </c>
      <c r="M121" t="s">
        <v>45</v>
      </c>
      <c r="N121">
        <v>4</v>
      </c>
      <c r="O121">
        <v>4</v>
      </c>
      <c r="P121">
        <v>4</v>
      </c>
      <c r="Q121">
        <v>3</v>
      </c>
      <c r="R121" t="s">
        <v>36</v>
      </c>
      <c r="S121">
        <v>5</v>
      </c>
      <c r="T121">
        <v>8</v>
      </c>
      <c r="U121" t="s">
        <v>37</v>
      </c>
      <c r="V121" t="s">
        <v>91</v>
      </c>
      <c r="W121" s="2">
        <v>46314.531944444447</v>
      </c>
      <c r="X121" t="s">
        <v>39</v>
      </c>
    </row>
    <row r="122" spans="1:24" x14ac:dyDescent="0.25">
      <c r="A122" t="s">
        <v>229</v>
      </c>
      <c r="B122" t="s">
        <v>227</v>
      </c>
      <c r="C122" t="s">
        <v>212</v>
      </c>
      <c r="D122" s="1">
        <v>46314</v>
      </c>
      <c r="E122" t="s">
        <v>77</v>
      </c>
      <c r="F122" t="s">
        <v>78</v>
      </c>
      <c r="G122" t="s">
        <v>79</v>
      </c>
      <c r="H122" t="s">
        <v>80</v>
      </c>
      <c r="I122" t="s">
        <v>31</v>
      </c>
      <c r="J122" t="s">
        <v>42</v>
      </c>
      <c r="K122" t="s">
        <v>33</v>
      </c>
      <c r="L122" t="s">
        <v>44</v>
      </c>
      <c r="M122" t="s">
        <v>45</v>
      </c>
      <c r="N122">
        <v>4</v>
      </c>
      <c r="O122">
        <v>3</v>
      </c>
      <c r="P122">
        <v>4</v>
      </c>
      <c r="Q122">
        <v>4</v>
      </c>
      <c r="R122" t="s">
        <v>51</v>
      </c>
      <c r="S122">
        <v>5</v>
      </c>
      <c r="T122">
        <v>8</v>
      </c>
      <c r="U122" t="s">
        <v>37</v>
      </c>
      <c r="V122" t="s">
        <v>52</v>
      </c>
      <c r="W122" s="2">
        <v>46316.567361111112</v>
      </c>
      <c r="X122" t="s">
        <v>39</v>
      </c>
    </row>
    <row r="123" spans="1:24" x14ac:dyDescent="0.25">
      <c r="A123" t="s">
        <v>230</v>
      </c>
      <c r="B123" t="s">
        <v>227</v>
      </c>
      <c r="C123" t="s">
        <v>212</v>
      </c>
      <c r="D123" s="1">
        <v>46314</v>
      </c>
      <c r="E123" t="s">
        <v>77</v>
      </c>
      <c r="F123" t="s">
        <v>78</v>
      </c>
      <c r="G123" t="s">
        <v>79</v>
      </c>
      <c r="H123" t="s">
        <v>80</v>
      </c>
      <c r="I123" t="s">
        <v>31</v>
      </c>
      <c r="J123" t="s">
        <v>107</v>
      </c>
      <c r="K123" t="s">
        <v>33</v>
      </c>
      <c r="L123" t="s">
        <v>72</v>
      </c>
      <c r="M123" t="s">
        <v>45</v>
      </c>
      <c r="N123">
        <v>5</v>
      </c>
      <c r="O123">
        <v>5</v>
      </c>
      <c r="P123">
        <v>4</v>
      </c>
      <c r="Q123">
        <v>4</v>
      </c>
      <c r="R123" t="s">
        <v>51</v>
      </c>
      <c r="S123">
        <v>3</v>
      </c>
      <c r="T123">
        <v>8</v>
      </c>
      <c r="U123" t="s">
        <v>45</v>
      </c>
      <c r="V123" t="s">
        <v>95</v>
      </c>
      <c r="W123" s="2">
        <v>46315.495138888888</v>
      </c>
      <c r="X123" t="s">
        <v>39</v>
      </c>
    </row>
    <row r="124" spans="1:24" x14ac:dyDescent="0.25">
      <c r="A124" t="s">
        <v>231</v>
      </c>
      <c r="B124" t="s">
        <v>227</v>
      </c>
      <c r="C124" t="s">
        <v>212</v>
      </c>
      <c r="D124" s="1">
        <v>46314</v>
      </c>
      <c r="E124" t="s">
        <v>77</v>
      </c>
      <c r="F124" t="s">
        <v>78</v>
      </c>
      <c r="G124" t="s">
        <v>83</v>
      </c>
      <c r="H124" t="s">
        <v>80</v>
      </c>
      <c r="I124" t="s">
        <v>31</v>
      </c>
      <c r="J124" t="s">
        <v>81</v>
      </c>
      <c r="K124" t="s">
        <v>138</v>
      </c>
      <c r="L124" t="s">
        <v>67</v>
      </c>
      <c r="M124" t="s">
        <v>45</v>
      </c>
      <c r="N124">
        <v>3</v>
      </c>
      <c r="O124">
        <v>2</v>
      </c>
      <c r="P124">
        <v>3</v>
      </c>
      <c r="Q124">
        <v>4</v>
      </c>
      <c r="R124" t="s">
        <v>51</v>
      </c>
      <c r="S124">
        <v>3</v>
      </c>
      <c r="T124">
        <v>4</v>
      </c>
      <c r="U124" t="s">
        <v>45</v>
      </c>
      <c r="V124" t="s">
        <v>47</v>
      </c>
      <c r="W124" s="2">
        <v>46314.661805555559</v>
      </c>
      <c r="X124" t="s">
        <v>39</v>
      </c>
    </row>
    <row r="125" spans="1:24" x14ac:dyDescent="0.25">
      <c r="A125" t="s">
        <v>232</v>
      </c>
      <c r="B125" t="s">
        <v>227</v>
      </c>
      <c r="C125" t="s">
        <v>212</v>
      </c>
      <c r="D125" s="1">
        <v>46314</v>
      </c>
      <c r="E125" t="s">
        <v>77</v>
      </c>
      <c r="F125" t="s">
        <v>78</v>
      </c>
      <c r="G125" t="s">
        <v>83</v>
      </c>
      <c r="H125" t="s">
        <v>80</v>
      </c>
      <c r="I125" t="s">
        <v>31</v>
      </c>
      <c r="J125" t="s">
        <v>163</v>
      </c>
      <c r="K125" t="s">
        <v>55</v>
      </c>
      <c r="L125" t="s">
        <v>44</v>
      </c>
      <c r="M125" t="s">
        <v>45</v>
      </c>
      <c r="N125">
        <v>5</v>
      </c>
      <c r="O125">
        <v>4</v>
      </c>
      <c r="P125">
        <v>5</v>
      </c>
      <c r="Q125">
        <v>5</v>
      </c>
      <c r="R125" t="s">
        <v>46</v>
      </c>
      <c r="S125">
        <v>5</v>
      </c>
      <c r="T125">
        <v>9</v>
      </c>
      <c r="U125" t="s">
        <v>45</v>
      </c>
      <c r="V125" t="s">
        <v>59</v>
      </c>
      <c r="W125" s="2">
        <v>46316.482638888891</v>
      </c>
      <c r="X125" t="s">
        <v>39</v>
      </c>
    </row>
    <row r="126" spans="1:24" x14ac:dyDescent="0.25">
      <c r="A126" t="s">
        <v>233</v>
      </c>
      <c r="B126" t="s">
        <v>227</v>
      </c>
      <c r="C126" t="s">
        <v>212</v>
      </c>
      <c r="D126" s="1">
        <v>46314</v>
      </c>
      <c r="E126" t="s">
        <v>77</v>
      </c>
      <c r="F126" t="s">
        <v>78</v>
      </c>
      <c r="G126" t="s">
        <v>85</v>
      </c>
      <c r="H126" t="s">
        <v>80</v>
      </c>
      <c r="I126" t="s">
        <v>31</v>
      </c>
      <c r="J126" t="s">
        <v>128</v>
      </c>
      <c r="K126" t="s">
        <v>138</v>
      </c>
      <c r="L126" t="s">
        <v>34</v>
      </c>
      <c r="M126" t="s">
        <v>45</v>
      </c>
      <c r="N126">
        <v>4</v>
      </c>
      <c r="O126">
        <v>3</v>
      </c>
      <c r="P126">
        <v>4</v>
      </c>
      <c r="Q126">
        <v>5</v>
      </c>
      <c r="R126" t="s">
        <v>51</v>
      </c>
      <c r="S126">
        <v>3</v>
      </c>
      <c r="T126">
        <v>8</v>
      </c>
      <c r="U126" t="s">
        <v>35</v>
      </c>
      <c r="V126" t="s">
        <v>121</v>
      </c>
      <c r="W126" s="2">
        <v>46314.663194444445</v>
      </c>
      <c r="X126" t="s">
        <v>39</v>
      </c>
    </row>
    <row r="127" spans="1:24" x14ac:dyDescent="0.25">
      <c r="A127" t="s">
        <v>234</v>
      </c>
      <c r="B127" t="s">
        <v>227</v>
      </c>
      <c r="C127" t="s">
        <v>212</v>
      </c>
      <c r="D127" s="1">
        <v>46314</v>
      </c>
      <c r="E127" t="s">
        <v>77</v>
      </c>
      <c r="F127" t="s">
        <v>78</v>
      </c>
      <c r="G127" t="s">
        <v>83</v>
      </c>
      <c r="H127" t="s">
        <v>80</v>
      </c>
      <c r="I127" t="s">
        <v>31</v>
      </c>
      <c r="J127" t="s">
        <v>71</v>
      </c>
      <c r="K127" t="s">
        <v>138</v>
      </c>
      <c r="L127" t="s">
        <v>34</v>
      </c>
      <c r="M127" t="s">
        <v>45</v>
      </c>
      <c r="N127">
        <v>3</v>
      </c>
      <c r="O127">
        <v>2</v>
      </c>
      <c r="P127">
        <v>3</v>
      </c>
      <c r="Q127">
        <v>3</v>
      </c>
      <c r="R127" t="s">
        <v>51</v>
      </c>
      <c r="S127">
        <v>3</v>
      </c>
      <c r="T127">
        <v>4</v>
      </c>
      <c r="U127" t="s">
        <v>45</v>
      </c>
      <c r="W127" s="2">
        <v>46314.663888888892</v>
      </c>
      <c r="X127" t="s">
        <v>39</v>
      </c>
    </row>
    <row r="128" spans="1:24" x14ac:dyDescent="0.25">
      <c r="A128" t="s">
        <v>235</v>
      </c>
      <c r="B128" t="s">
        <v>227</v>
      </c>
      <c r="C128" t="s">
        <v>212</v>
      </c>
      <c r="D128" s="1">
        <v>46314</v>
      </c>
      <c r="E128" t="s">
        <v>77</v>
      </c>
      <c r="F128" t="s">
        <v>78</v>
      </c>
      <c r="G128" t="s">
        <v>85</v>
      </c>
      <c r="H128" t="s">
        <v>80</v>
      </c>
      <c r="I128" t="s">
        <v>31</v>
      </c>
      <c r="J128" t="s">
        <v>86</v>
      </c>
      <c r="K128" t="s">
        <v>43</v>
      </c>
      <c r="L128" t="s">
        <v>44</v>
      </c>
      <c r="M128" t="s">
        <v>45</v>
      </c>
      <c r="N128">
        <v>2</v>
      </c>
      <c r="O128">
        <v>2</v>
      </c>
      <c r="P128">
        <v>2</v>
      </c>
      <c r="Q128">
        <v>3</v>
      </c>
      <c r="R128" t="s">
        <v>51</v>
      </c>
      <c r="S128">
        <v>2</v>
      </c>
      <c r="T128">
        <v>3</v>
      </c>
      <c r="U128" t="s">
        <v>45</v>
      </c>
      <c r="V128" t="s">
        <v>191</v>
      </c>
      <c r="W128" s="2">
        <v>46314.539583333331</v>
      </c>
      <c r="X128" t="s">
        <v>39</v>
      </c>
    </row>
    <row r="129" spans="1:24" x14ac:dyDescent="0.25">
      <c r="A129" t="s">
        <v>236</v>
      </c>
      <c r="B129" t="s">
        <v>227</v>
      </c>
      <c r="C129" t="s">
        <v>212</v>
      </c>
      <c r="D129" s="1">
        <v>46314</v>
      </c>
      <c r="E129" t="s">
        <v>77</v>
      </c>
      <c r="F129" t="s">
        <v>78</v>
      </c>
      <c r="G129" t="s">
        <v>85</v>
      </c>
      <c r="H129" t="s">
        <v>80</v>
      </c>
      <c r="I129" t="s">
        <v>31</v>
      </c>
      <c r="J129" t="s">
        <v>32</v>
      </c>
      <c r="K129" t="s">
        <v>55</v>
      </c>
      <c r="L129" t="s">
        <v>34</v>
      </c>
      <c r="M129" t="s">
        <v>45</v>
      </c>
      <c r="N129">
        <v>4</v>
      </c>
      <c r="O129">
        <v>4</v>
      </c>
      <c r="P129">
        <v>4</v>
      </c>
      <c r="Q129">
        <v>5</v>
      </c>
      <c r="R129" t="s">
        <v>51</v>
      </c>
      <c r="S129">
        <v>3</v>
      </c>
      <c r="T129">
        <v>9</v>
      </c>
      <c r="U129" t="s">
        <v>37</v>
      </c>
      <c r="V129" t="s">
        <v>62</v>
      </c>
      <c r="W129" s="2">
        <v>46314.543749999997</v>
      </c>
      <c r="X129" t="s">
        <v>39</v>
      </c>
    </row>
    <row r="130" spans="1:24" x14ac:dyDescent="0.25">
      <c r="A130" t="s">
        <v>237</v>
      </c>
      <c r="B130" t="s">
        <v>227</v>
      </c>
      <c r="C130" t="s">
        <v>212</v>
      </c>
      <c r="D130" s="1">
        <v>46314</v>
      </c>
      <c r="E130" t="s">
        <v>77</v>
      </c>
      <c r="F130" t="s">
        <v>78</v>
      </c>
      <c r="G130" t="s">
        <v>79</v>
      </c>
      <c r="H130" t="s">
        <v>80</v>
      </c>
      <c r="I130" t="s">
        <v>31</v>
      </c>
      <c r="J130" t="s">
        <v>94</v>
      </c>
      <c r="K130" t="s">
        <v>138</v>
      </c>
      <c r="L130" t="s">
        <v>67</v>
      </c>
      <c r="M130" t="s">
        <v>45</v>
      </c>
      <c r="N130">
        <v>5</v>
      </c>
      <c r="P130">
        <v>4</v>
      </c>
      <c r="Q130">
        <v>3</v>
      </c>
      <c r="R130" t="s">
        <v>36</v>
      </c>
      <c r="S130">
        <v>4</v>
      </c>
      <c r="T130">
        <v>8</v>
      </c>
      <c r="U130" t="s">
        <v>37</v>
      </c>
      <c r="V130" t="s">
        <v>121</v>
      </c>
      <c r="W130" s="2">
        <v>46315.609722222223</v>
      </c>
      <c r="X130" t="s">
        <v>39</v>
      </c>
    </row>
    <row r="131" spans="1:24" x14ac:dyDescent="0.25">
      <c r="A131" t="s">
        <v>238</v>
      </c>
      <c r="B131" t="s">
        <v>239</v>
      </c>
      <c r="C131" t="s">
        <v>212</v>
      </c>
      <c r="D131" s="1">
        <v>46314</v>
      </c>
      <c r="E131" t="s">
        <v>102</v>
      </c>
      <c r="F131" t="s">
        <v>103</v>
      </c>
      <c r="G131" t="s">
        <v>110</v>
      </c>
      <c r="H131" t="s">
        <v>105</v>
      </c>
      <c r="I131" t="s">
        <v>31</v>
      </c>
      <c r="J131" t="s">
        <v>50</v>
      </c>
      <c r="K131" t="s">
        <v>65</v>
      </c>
      <c r="L131" t="s">
        <v>34</v>
      </c>
      <c r="M131" t="s">
        <v>45</v>
      </c>
      <c r="N131">
        <v>5</v>
      </c>
      <c r="O131">
        <v>4</v>
      </c>
      <c r="P131">
        <v>4</v>
      </c>
      <c r="Q131">
        <v>5</v>
      </c>
      <c r="R131" t="s">
        <v>36</v>
      </c>
      <c r="S131">
        <v>5</v>
      </c>
      <c r="T131">
        <v>10</v>
      </c>
      <c r="U131" t="s">
        <v>45</v>
      </c>
      <c r="V131" t="s">
        <v>121</v>
      </c>
      <c r="W131" s="2">
        <v>46315.256249999999</v>
      </c>
      <c r="X131" t="s">
        <v>39</v>
      </c>
    </row>
    <row r="132" spans="1:24" x14ac:dyDescent="0.25">
      <c r="A132" t="s">
        <v>240</v>
      </c>
      <c r="B132" t="s">
        <v>239</v>
      </c>
      <c r="C132" t="s">
        <v>212</v>
      </c>
      <c r="D132" s="1">
        <v>46314</v>
      </c>
      <c r="E132" t="s">
        <v>102</v>
      </c>
      <c r="F132" t="s">
        <v>103</v>
      </c>
      <c r="G132" t="s">
        <v>110</v>
      </c>
      <c r="H132" t="s">
        <v>105</v>
      </c>
      <c r="I132" t="s">
        <v>31</v>
      </c>
      <c r="J132" t="s">
        <v>71</v>
      </c>
      <c r="K132" t="s">
        <v>138</v>
      </c>
      <c r="L132" t="s">
        <v>44</v>
      </c>
      <c r="M132" t="s">
        <v>45</v>
      </c>
      <c r="N132">
        <v>3</v>
      </c>
      <c r="O132">
        <v>3</v>
      </c>
      <c r="Q132">
        <v>3</v>
      </c>
      <c r="R132" t="s">
        <v>51</v>
      </c>
      <c r="S132">
        <v>5</v>
      </c>
      <c r="T132">
        <v>4</v>
      </c>
      <c r="U132" t="s">
        <v>45</v>
      </c>
      <c r="V132" t="s">
        <v>130</v>
      </c>
      <c r="W132" s="2">
        <v>46314.530555555553</v>
      </c>
      <c r="X132" t="s">
        <v>39</v>
      </c>
    </row>
    <row r="133" spans="1:24" x14ac:dyDescent="0.25">
      <c r="A133" t="s">
        <v>241</v>
      </c>
      <c r="B133" t="s">
        <v>239</v>
      </c>
      <c r="C133" t="s">
        <v>212</v>
      </c>
      <c r="D133" s="1">
        <v>46314</v>
      </c>
      <c r="E133" t="s">
        <v>102</v>
      </c>
      <c r="F133" t="s">
        <v>103</v>
      </c>
      <c r="G133" t="s">
        <v>104</v>
      </c>
      <c r="H133" t="s">
        <v>105</v>
      </c>
      <c r="I133" t="s">
        <v>31</v>
      </c>
      <c r="J133" t="s">
        <v>64</v>
      </c>
      <c r="K133" t="s">
        <v>43</v>
      </c>
      <c r="L133" t="s">
        <v>44</v>
      </c>
      <c r="M133" t="s">
        <v>45</v>
      </c>
      <c r="N133">
        <v>5</v>
      </c>
      <c r="O133">
        <v>5</v>
      </c>
      <c r="P133">
        <v>5</v>
      </c>
      <c r="Q133">
        <v>5</v>
      </c>
      <c r="R133" t="s">
        <v>36</v>
      </c>
      <c r="S133">
        <v>3</v>
      </c>
      <c r="T133">
        <v>10</v>
      </c>
      <c r="U133" t="s">
        <v>45</v>
      </c>
      <c r="V133" t="s">
        <v>91</v>
      </c>
      <c r="W133" s="2">
        <v>46315.640277777777</v>
      </c>
      <c r="X133" t="s">
        <v>39</v>
      </c>
    </row>
    <row r="134" spans="1:24" x14ac:dyDescent="0.25">
      <c r="A134" t="s">
        <v>242</v>
      </c>
      <c r="B134" t="s">
        <v>239</v>
      </c>
      <c r="C134" t="s">
        <v>212</v>
      </c>
      <c r="D134" s="1">
        <v>46314</v>
      </c>
      <c r="E134" t="s">
        <v>102</v>
      </c>
      <c r="F134" t="s">
        <v>103</v>
      </c>
      <c r="G134" t="s">
        <v>104</v>
      </c>
      <c r="H134" t="s">
        <v>105</v>
      </c>
      <c r="I134" t="s">
        <v>31</v>
      </c>
      <c r="J134" t="s">
        <v>42</v>
      </c>
      <c r="K134" t="s">
        <v>65</v>
      </c>
      <c r="L134" t="s">
        <v>58</v>
      </c>
      <c r="M134" t="s">
        <v>35</v>
      </c>
      <c r="N134">
        <v>3</v>
      </c>
      <c r="O134">
        <v>3</v>
      </c>
      <c r="P134">
        <v>2</v>
      </c>
      <c r="R134" t="s">
        <v>51</v>
      </c>
      <c r="S134">
        <v>5</v>
      </c>
      <c r="T134">
        <v>6</v>
      </c>
      <c r="U134" t="s">
        <v>35</v>
      </c>
      <c r="W134" s="2">
        <v>46316.580555555556</v>
      </c>
      <c r="X134" t="s">
        <v>39</v>
      </c>
    </row>
    <row r="135" spans="1:24" x14ac:dyDescent="0.25">
      <c r="A135" t="s">
        <v>243</v>
      </c>
      <c r="B135" t="s">
        <v>239</v>
      </c>
      <c r="C135" t="s">
        <v>212</v>
      </c>
      <c r="D135" s="1">
        <v>46314</v>
      </c>
      <c r="E135" t="s">
        <v>102</v>
      </c>
      <c r="F135" t="s">
        <v>103</v>
      </c>
      <c r="G135" t="s">
        <v>104</v>
      </c>
      <c r="H135" t="s">
        <v>105</v>
      </c>
      <c r="I135" t="s">
        <v>31</v>
      </c>
      <c r="J135" t="s">
        <v>42</v>
      </c>
      <c r="K135" t="s">
        <v>43</v>
      </c>
      <c r="L135" t="s">
        <v>58</v>
      </c>
      <c r="M135" t="s">
        <v>35</v>
      </c>
      <c r="N135">
        <v>4</v>
      </c>
      <c r="O135">
        <v>5</v>
      </c>
      <c r="P135">
        <v>5</v>
      </c>
      <c r="Q135">
        <v>5</v>
      </c>
      <c r="R135" t="s">
        <v>51</v>
      </c>
      <c r="S135">
        <v>3</v>
      </c>
      <c r="T135">
        <v>10</v>
      </c>
      <c r="U135" t="s">
        <v>37</v>
      </c>
      <c r="V135" t="s">
        <v>52</v>
      </c>
      <c r="W135" s="2">
        <v>46314.763194444444</v>
      </c>
      <c r="X135" t="s">
        <v>39</v>
      </c>
    </row>
    <row r="136" spans="1:24" x14ac:dyDescent="0.25">
      <c r="A136" t="s">
        <v>244</v>
      </c>
      <c r="B136" t="s">
        <v>239</v>
      </c>
      <c r="C136" t="s">
        <v>212</v>
      </c>
      <c r="D136" s="1">
        <v>46314</v>
      </c>
      <c r="E136" t="s">
        <v>102</v>
      </c>
      <c r="F136" t="s">
        <v>103</v>
      </c>
      <c r="G136" t="s">
        <v>104</v>
      </c>
      <c r="H136" t="s">
        <v>105</v>
      </c>
      <c r="I136" t="s">
        <v>31</v>
      </c>
      <c r="J136" t="s">
        <v>86</v>
      </c>
      <c r="K136" t="s">
        <v>43</v>
      </c>
      <c r="L136" t="s">
        <v>34</v>
      </c>
      <c r="M136" t="s">
        <v>45</v>
      </c>
      <c r="N136">
        <v>3</v>
      </c>
      <c r="O136">
        <v>4</v>
      </c>
      <c r="P136">
        <v>3</v>
      </c>
      <c r="Q136">
        <v>3</v>
      </c>
      <c r="R136" t="s">
        <v>51</v>
      </c>
      <c r="S136">
        <v>4</v>
      </c>
      <c r="T136">
        <v>6</v>
      </c>
      <c r="U136" t="s">
        <v>45</v>
      </c>
      <c r="V136" t="s">
        <v>167</v>
      </c>
      <c r="W136" s="2">
        <v>46315.277777777781</v>
      </c>
      <c r="X136" t="s">
        <v>39</v>
      </c>
    </row>
    <row r="137" spans="1:24" x14ac:dyDescent="0.25">
      <c r="A137" t="s">
        <v>245</v>
      </c>
      <c r="B137" t="s">
        <v>239</v>
      </c>
      <c r="C137" t="s">
        <v>212</v>
      </c>
      <c r="D137" s="1">
        <v>46314</v>
      </c>
      <c r="E137" t="s">
        <v>102</v>
      </c>
      <c r="F137" t="s">
        <v>103</v>
      </c>
      <c r="G137" t="s">
        <v>104</v>
      </c>
      <c r="H137" t="s">
        <v>105</v>
      </c>
      <c r="I137" t="s">
        <v>31</v>
      </c>
      <c r="J137" t="s">
        <v>107</v>
      </c>
      <c r="K137" t="s">
        <v>65</v>
      </c>
      <c r="L137" t="s">
        <v>44</v>
      </c>
      <c r="M137" t="s">
        <v>45</v>
      </c>
      <c r="N137">
        <v>4</v>
      </c>
      <c r="O137">
        <v>4</v>
      </c>
      <c r="P137">
        <v>3</v>
      </c>
      <c r="Q137">
        <v>3</v>
      </c>
      <c r="R137" t="s">
        <v>36</v>
      </c>
      <c r="S137">
        <v>4</v>
      </c>
      <c r="T137">
        <v>7</v>
      </c>
      <c r="U137" t="s">
        <v>45</v>
      </c>
      <c r="V137" t="s">
        <v>74</v>
      </c>
      <c r="W137" s="2">
        <v>46316.697222222225</v>
      </c>
      <c r="X137" t="s">
        <v>39</v>
      </c>
    </row>
    <row r="138" spans="1:24" x14ac:dyDescent="0.25">
      <c r="A138" t="s">
        <v>246</v>
      </c>
      <c r="B138" t="s">
        <v>239</v>
      </c>
      <c r="C138" t="s">
        <v>212</v>
      </c>
      <c r="D138" s="1">
        <v>46314</v>
      </c>
      <c r="E138" t="s">
        <v>102</v>
      </c>
      <c r="F138" t="s">
        <v>103</v>
      </c>
      <c r="G138" t="s">
        <v>112</v>
      </c>
      <c r="H138" t="s">
        <v>105</v>
      </c>
      <c r="I138" t="s">
        <v>31</v>
      </c>
      <c r="J138" t="s">
        <v>94</v>
      </c>
      <c r="K138" t="s">
        <v>33</v>
      </c>
      <c r="L138" t="s">
        <v>44</v>
      </c>
      <c r="M138" t="s">
        <v>35</v>
      </c>
      <c r="N138">
        <v>5</v>
      </c>
      <c r="O138">
        <v>5</v>
      </c>
      <c r="P138">
        <v>5</v>
      </c>
      <c r="Q138">
        <v>5</v>
      </c>
      <c r="R138" t="s">
        <v>46</v>
      </c>
      <c r="S138">
        <v>5</v>
      </c>
      <c r="T138">
        <v>10</v>
      </c>
      <c r="U138" t="s">
        <v>45</v>
      </c>
      <c r="W138" s="2">
        <v>46314.501388888886</v>
      </c>
      <c r="X138" t="s">
        <v>39</v>
      </c>
    </row>
    <row r="139" spans="1:24" x14ac:dyDescent="0.25">
      <c r="A139" t="s">
        <v>247</v>
      </c>
      <c r="B139" t="s">
        <v>239</v>
      </c>
      <c r="C139" t="s">
        <v>212</v>
      </c>
      <c r="D139" s="1">
        <v>46314</v>
      </c>
      <c r="E139" t="s">
        <v>102</v>
      </c>
      <c r="F139" t="s">
        <v>103</v>
      </c>
      <c r="G139" t="s">
        <v>112</v>
      </c>
      <c r="H139" t="s">
        <v>105</v>
      </c>
      <c r="I139" t="s">
        <v>31</v>
      </c>
      <c r="J139" t="s">
        <v>163</v>
      </c>
      <c r="K139" t="s">
        <v>138</v>
      </c>
      <c r="L139" t="s">
        <v>44</v>
      </c>
      <c r="M139" t="s">
        <v>45</v>
      </c>
      <c r="N139">
        <v>4</v>
      </c>
      <c r="O139">
        <v>4</v>
      </c>
      <c r="P139">
        <v>5</v>
      </c>
      <c r="Q139">
        <v>5</v>
      </c>
      <c r="R139" t="s">
        <v>51</v>
      </c>
      <c r="S139">
        <v>5</v>
      </c>
      <c r="T139">
        <v>10</v>
      </c>
      <c r="U139" t="s">
        <v>37</v>
      </c>
      <c r="V139" t="s">
        <v>38</v>
      </c>
      <c r="W139" s="2">
        <v>46314.680555555555</v>
      </c>
      <c r="X139" t="s">
        <v>39</v>
      </c>
    </row>
    <row r="140" spans="1:24" x14ac:dyDescent="0.25">
      <c r="A140" t="s">
        <v>248</v>
      </c>
      <c r="B140" t="s">
        <v>239</v>
      </c>
      <c r="C140" t="s">
        <v>212</v>
      </c>
      <c r="D140" s="1">
        <v>46314</v>
      </c>
      <c r="E140" t="s">
        <v>102</v>
      </c>
      <c r="F140" t="s">
        <v>103</v>
      </c>
      <c r="G140" t="s">
        <v>112</v>
      </c>
      <c r="H140" t="s">
        <v>105</v>
      </c>
      <c r="I140" t="s">
        <v>31</v>
      </c>
      <c r="J140" t="s">
        <v>94</v>
      </c>
      <c r="K140" t="s">
        <v>65</v>
      </c>
      <c r="L140" t="s">
        <v>58</v>
      </c>
      <c r="M140" t="s">
        <v>35</v>
      </c>
      <c r="N140">
        <v>4</v>
      </c>
      <c r="O140">
        <v>3</v>
      </c>
      <c r="P140">
        <v>2</v>
      </c>
      <c r="Q140">
        <v>2</v>
      </c>
      <c r="R140" t="s">
        <v>36</v>
      </c>
      <c r="S140">
        <v>5</v>
      </c>
      <c r="T140">
        <v>5</v>
      </c>
      <c r="U140" t="s">
        <v>37</v>
      </c>
      <c r="V140" t="s">
        <v>69</v>
      </c>
      <c r="W140" s="2">
        <v>46315.453472222223</v>
      </c>
      <c r="X140" t="s">
        <v>39</v>
      </c>
    </row>
    <row r="141" spans="1:24" x14ac:dyDescent="0.25">
      <c r="A141" t="s">
        <v>249</v>
      </c>
      <c r="B141" t="s">
        <v>239</v>
      </c>
      <c r="C141" t="s">
        <v>212</v>
      </c>
      <c r="D141" s="1">
        <v>46314</v>
      </c>
      <c r="E141" t="s">
        <v>102</v>
      </c>
      <c r="F141" t="s">
        <v>103</v>
      </c>
      <c r="G141" t="s">
        <v>104</v>
      </c>
      <c r="H141" t="s">
        <v>105</v>
      </c>
      <c r="I141" t="s">
        <v>31</v>
      </c>
      <c r="J141" t="s">
        <v>163</v>
      </c>
      <c r="K141" t="s">
        <v>65</v>
      </c>
      <c r="L141" t="s">
        <v>44</v>
      </c>
      <c r="M141" t="s">
        <v>45</v>
      </c>
      <c r="N141">
        <v>4</v>
      </c>
      <c r="O141">
        <v>4</v>
      </c>
      <c r="P141">
        <v>3</v>
      </c>
      <c r="Q141">
        <v>4</v>
      </c>
      <c r="R141" t="s">
        <v>36</v>
      </c>
      <c r="S141">
        <v>3</v>
      </c>
      <c r="T141">
        <v>8</v>
      </c>
      <c r="U141" t="s">
        <v>37</v>
      </c>
      <c r="V141" t="s">
        <v>74</v>
      </c>
      <c r="W141" s="2">
        <v>46315.308333333334</v>
      </c>
      <c r="X141" t="s">
        <v>39</v>
      </c>
    </row>
    <row r="142" spans="1:24" x14ac:dyDescent="0.25">
      <c r="A142" t="s">
        <v>250</v>
      </c>
      <c r="B142" t="s">
        <v>239</v>
      </c>
      <c r="C142" t="s">
        <v>212</v>
      </c>
      <c r="D142" s="1">
        <v>46314</v>
      </c>
      <c r="E142" t="s">
        <v>102</v>
      </c>
      <c r="F142" t="s">
        <v>103</v>
      </c>
      <c r="G142" t="s">
        <v>112</v>
      </c>
      <c r="H142" t="s">
        <v>105</v>
      </c>
      <c r="I142" t="s">
        <v>31</v>
      </c>
      <c r="J142" t="s">
        <v>86</v>
      </c>
      <c r="K142" t="s">
        <v>43</v>
      </c>
      <c r="L142" t="s">
        <v>34</v>
      </c>
      <c r="M142" t="s">
        <v>45</v>
      </c>
      <c r="N142">
        <v>3</v>
      </c>
      <c r="O142">
        <v>4</v>
      </c>
      <c r="P142">
        <v>3</v>
      </c>
      <c r="Q142">
        <v>4</v>
      </c>
      <c r="R142" t="s">
        <v>51</v>
      </c>
      <c r="S142">
        <v>4</v>
      </c>
      <c r="T142">
        <v>8</v>
      </c>
      <c r="U142" t="s">
        <v>45</v>
      </c>
      <c r="V142" t="s">
        <v>74</v>
      </c>
      <c r="W142" s="2">
        <v>46314.658333333333</v>
      </c>
      <c r="X142" t="s">
        <v>39</v>
      </c>
    </row>
    <row r="143" spans="1:24" x14ac:dyDescent="0.25">
      <c r="A143" t="s">
        <v>251</v>
      </c>
      <c r="B143" t="s">
        <v>239</v>
      </c>
      <c r="C143" t="s">
        <v>212</v>
      </c>
      <c r="D143" s="1">
        <v>46314</v>
      </c>
      <c r="E143" t="s">
        <v>102</v>
      </c>
      <c r="F143" t="s">
        <v>103</v>
      </c>
      <c r="G143" t="s">
        <v>112</v>
      </c>
      <c r="H143" t="s">
        <v>105</v>
      </c>
      <c r="I143" t="s">
        <v>31</v>
      </c>
      <c r="J143" t="s">
        <v>42</v>
      </c>
      <c r="K143" t="s">
        <v>55</v>
      </c>
      <c r="L143" t="s">
        <v>58</v>
      </c>
      <c r="M143" t="s">
        <v>45</v>
      </c>
      <c r="N143">
        <v>5</v>
      </c>
      <c r="O143">
        <v>3</v>
      </c>
      <c r="P143">
        <v>4</v>
      </c>
      <c r="Q143">
        <v>4</v>
      </c>
      <c r="R143" t="s">
        <v>36</v>
      </c>
      <c r="S143">
        <v>5</v>
      </c>
      <c r="T143">
        <v>7</v>
      </c>
      <c r="U143" t="s">
        <v>45</v>
      </c>
      <c r="V143" t="s">
        <v>38</v>
      </c>
      <c r="W143" s="2">
        <v>46314.513888888891</v>
      </c>
      <c r="X143" t="s">
        <v>39</v>
      </c>
    </row>
    <row r="144" spans="1:24" x14ac:dyDescent="0.25">
      <c r="A144" t="s">
        <v>252</v>
      </c>
      <c r="B144" t="s">
        <v>239</v>
      </c>
      <c r="C144" t="s">
        <v>212</v>
      </c>
      <c r="D144" s="1">
        <v>46314</v>
      </c>
      <c r="E144" t="s">
        <v>102</v>
      </c>
      <c r="F144" t="s">
        <v>103</v>
      </c>
      <c r="G144" t="s">
        <v>112</v>
      </c>
      <c r="H144" t="s">
        <v>105</v>
      </c>
      <c r="I144" t="s">
        <v>31</v>
      </c>
      <c r="J144" t="s">
        <v>86</v>
      </c>
      <c r="K144" t="s">
        <v>55</v>
      </c>
      <c r="L144" t="s">
        <v>58</v>
      </c>
      <c r="M144" t="s">
        <v>45</v>
      </c>
      <c r="N144">
        <v>3</v>
      </c>
      <c r="O144">
        <v>3</v>
      </c>
      <c r="P144">
        <v>2</v>
      </c>
      <c r="Q144">
        <v>4</v>
      </c>
      <c r="R144" t="s">
        <v>51</v>
      </c>
      <c r="S144">
        <v>4</v>
      </c>
      <c r="T144">
        <v>7</v>
      </c>
      <c r="U144" t="s">
        <v>35</v>
      </c>
      <c r="V144" t="s">
        <v>167</v>
      </c>
      <c r="W144" s="2">
        <v>46315.509027777778</v>
      </c>
      <c r="X144" t="s">
        <v>39</v>
      </c>
    </row>
    <row r="145" spans="1:24" x14ac:dyDescent="0.25">
      <c r="A145" t="s">
        <v>253</v>
      </c>
      <c r="B145" t="s">
        <v>254</v>
      </c>
      <c r="C145" t="s">
        <v>255</v>
      </c>
      <c r="D145" s="1">
        <v>46316</v>
      </c>
      <c r="E145" t="s">
        <v>27</v>
      </c>
      <c r="F145" t="s">
        <v>28</v>
      </c>
      <c r="G145" t="s">
        <v>132</v>
      </c>
      <c r="H145" t="s">
        <v>30</v>
      </c>
      <c r="I145" t="s">
        <v>31</v>
      </c>
      <c r="J145" t="s">
        <v>98</v>
      </c>
      <c r="K145" t="s">
        <v>65</v>
      </c>
      <c r="L145" t="s">
        <v>44</v>
      </c>
      <c r="M145" t="s">
        <v>45</v>
      </c>
      <c r="N145">
        <v>2</v>
      </c>
      <c r="O145">
        <v>3</v>
      </c>
      <c r="P145">
        <v>2</v>
      </c>
      <c r="Q145">
        <v>2</v>
      </c>
      <c r="R145" t="s">
        <v>36</v>
      </c>
      <c r="S145">
        <v>1</v>
      </c>
      <c r="T145">
        <v>4</v>
      </c>
      <c r="U145" t="s">
        <v>45</v>
      </c>
      <c r="V145" t="s">
        <v>134</v>
      </c>
      <c r="W145" s="2">
        <v>46318.604166666664</v>
      </c>
      <c r="X145" t="s">
        <v>39</v>
      </c>
    </row>
    <row r="146" spans="1:24" x14ac:dyDescent="0.25">
      <c r="A146" t="s">
        <v>256</v>
      </c>
      <c r="B146" t="s">
        <v>254</v>
      </c>
      <c r="C146" t="s">
        <v>255</v>
      </c>
      <c r="D146" s="1">
        <v>46316</v>
      </c>
      <c r="E146" t="s">
        <v>27</v>
      </c>
      <c r="F146" t="s">
        <v>28</v>
      </c>
      <c r="G146" t="s">
        <v>132</v>
      </c>
      <c r="H146" t="s">
        <v>30</v>
      </c>
      <c r="I146" t="s">
        <v>31</v>
      </c>
      <c r="J146" t="s">
        <v>32</v>
      </c>
      <c r="K146" t="s">
        <v>33</v>
      </c>
      <c r="L146" t="s">
        <v>34</v>
      </c>
      <c r="M146" t="s">
        <v>45</v>
      </c>
      <c r="N146">
        <v>4</v>
      </c>
      <c r="O146">
        <v>4</v>
      </c>
      <c r="P146">
        <v>4</v>
      </c>
      <c r="Q146">
        <v>4</v>
      </c>
      <c r="R146" t="s">
        <v>51</v>
      </c>
      <c r="S146">
        <v>4</v>
      </c>
      <c r="T146">
        <v>8</v>
      </c>
      <c r="U146" t="s">
        <v>45</v>
      </c>
      <c r="V146" t="s">
        <v>38</v>
      </c>
      <c r="W146" s="2">
        <v>46316.772222222222</v>
      </c>
      <c r="X146" t="s">
        <v>39</v>
      </c>
    </row>
    <row r="147" spans="1:24" x14ac:dyDescent="0.25">
      <c r="A147" t="s">
        <v>257</v>
      </c>
      <c r="B147" t="s">
        <v>254</v>
      </c>
      <c r="C147" t="s">
        <v>255</v>
      </c>
      <c r="D147" s="1">
        <v>46316</v>
      </c>
      <c r="E147" t="s">
        <v>27</v>
      </c>
      <c r="F147" t="s">
        <v>28</v>
      </c>
      <c r="G147" t="s">
        <v>49</v>
      </c>
      <c r="H147" t="s">
        <v>30</v>
      </c>
      <c r="I147" t="s">
        <v>31</v>
      </c>
      <c r="J147" t="s">
        <v>32</v>
      </c>
      <c r="K147" t="s">
        <v>43</v>
      </c>
      <c r="L147" t="s">
        <v>44</v>
      </c>
      <c r="M147" t="s">
        <v>45</v>
      </c>
      <c r="N147">
        <v>5</v>
      </c>
      <c r="O147">
        <v>5</v>
      </c>
      <c r="P147">
        <v>5</v>
      </c>
      <c r="Q147">
        <v>5</v>
      </c>
      <c r="R147" t="s">
        <v>51</v>
      </c>
      <c r="S147">
        <v>3</v>
      </c>
      <c r="T147">
        <v>10</v>
      </c>
      <c r="U147" t="s">
        <v>35</v>
      </c>
      <c r="V147" t="s">
        <v>121</v>
      </c>
      <c r="W147" s="2">
        <v>46317.381944444445</v>
      </c>
      <c r="X147" t="s">
        <v>39</v>
      </c>
    </row>
    <row r="148" spans="1:24" x14ac:dyDescent="0.25">
      <c r="A148" t="s">
        <v>258</v>
      </c>
      <c r="B148" t="s">
        <v>254</v>
      </c>
      <c r="C148" t="s">
        <v>255</v>
      </c>
      <c r="D148" s="1">
        <v>46316</v>
      </c>
      <c r="E148" t="s">
        <v>27</v>
      </c>
      <c r="F148" t="s">
        <v>28</v>
      </c>
      <c r="G148" t="s">
        <v>29</v>
      </c>
      <c r="H148" t="s">
        <v>30</v>
      </c>
      <c r="I148" t="s">
        <v>31</v>
      </c>
      <c r="J148" t="s">
        <v>42</v>
      </c>
      <c r="K148" t="s">
        <v>43</v>
      </c>
      <c r="L148" t="s">
        <v>72</v>
      </c>
      <c r="M148" t="s">
        <v>45</v>
      </c>
      <c r="N148">
        <v>5</v>
      </c>
      <c r="O148">
        <v>5</v>
      </c>
      <c r="P148">
        <v>5</v>
      </c>
      <c r="Q148">
        <v>5</v>
      </c>
      <c r="R148" t="s">
        <v>36</v>
      </c>
      <c r="S148">
        <v>4</v>
      </c>
      <c r="T148">
        <v>9</v>
      </c>
      <c r="U148" t="s">
        <v>35</v>
      </c>
      <c r="V148" t="s">
        <v>38</v>
      </c>
      <c r="W148" s="2">
        <v>46316.67083333333</v>
      </c>
      <c r="X148" t="s">
        <v>39</v>
      </c>
    </row>
    <row r="149" spans="1:24" x14ac:dyDescent="0.25">
      <c r="A149" t="s">
        <v>259</v>
      </c>
      <c r="B149" t="s">
        <v>254</v>
      </c>
      <c r="C149" t="s">
        <v>255</v>
      </c>
      <c r="D149" s="1">
        <v>46316</v>
      </c>
      <c r="E149" t="s">
        <v>27</v>
      </c>
      <c r="F149" t="s">
        <v>28</v>
      </c>
      <c r="G149" t="s">
        <v>132</v>
      </c>
      <c r="H149" t="s">
        <v>30</v>
      </c>
      <c r="I149" t="s">
        <v>31</v>
      </c>
      <c r="J149" t="s">
        <v>163</v>
      </c>
      <c r="K149" t="s">
        <v>138</v>
      </c>
      <c r="L149" t="s">
        <v>67</v>
      </c>
      <c r="M149" t="s">
        <v>45</v>
      </c>
      <c r="N149">
        <v>4</v>
      </c>
      <c r="O149">
        <v>4</v>
      </c>
      <c r="P149">
        <v>3</v>
      </c>
      <c r="Q149">
        <v>4</v>
      </c>
      <c r="R149" t="s">
        <v>51</v>
      </c>
      <c r="S149">
        <v>4</v>
      </c>
      <c r="T149">
        <v>8</v>
      </c>
      <c r="U149" t="s">
        <v>45</v>
      </c>
      <c r="W149" s="2">
        <v>46317.236111111109</v>
      </c>
      <c r="X149" t="s">
        <v>39</v>
      </c>
    </row>
    <row r="150" spans="1:24" x14ac:dyDescent="0.25">
      <c r="A150" t="s">
        <v>260</v>
      </c>
      <c r="B150" t="s">
        <v>254</v>
      </c>
      <c r="C150" t="s">
        <v>255</v>
      </c>
      <c r="D150" s="1">
        <v>46316</v>
      </c>
      <c r="E150" t="s">
        <v>27</v>
      </c>
      <c r="F150" t="s">
        <v>28</v>
      </c>
      <c r="G150" t="s">
        <v>132</v>
      </c>
      <c r="H150" t="s">
        <v>30</v>
      </c>
      <c r="I150" t="s">
        <v>31</v>
      </c>
      <c r="J150" t="s">
        <v>50</v>
      </c>
      <c r="K150" t="s">
        <v>65</v>
      </c>
      <c r="L150" t="s">
        <v>34</v>
      </c>
      <c r="M150" t="s">
        <v>45</v>
      </c>
      <c r="N150">
        <v>4</v>
      </c>
      <c r="O150">
        <v>4</v>
      </c>
      <c r="P150">
        <v>4</v>
      </c>
      <c r="Q150">
        <v>4</v>
      </c>
      <c r="R150" t="s">
        <v>36</v>
      </c>
      <c r="S150">
        <v>5</v>
      </c>
      <c r="T150">
        <v>8</v>
      </c>
      <c r="U150" t="s">
        <v>45</v>
      </c>
      <c r="V150" t="s">
        <v>52</v>
      </c>
      <c r="W150" s="2">
        <v>46317.549305555556</v>
      </c>
      <c r="X150" t="s">
        <v>39</v>
      </c>
    </row>
    <row r="151" spans="1:24" x14ac:dyDescent="0.25">
      <c r="A151" t="s">
        <v>261</v>
      </c>
      <c r="B151" t="s">
        <v>254</v>
      </c>
      <c r="C151" t="s">
        <v>255</v>
      </c>
      <c r="D151" s="1">
        <v>46316</v>
      </c>
      <c r="E151" t="s">
        <v>27</v>
      </c>
      <c r="F151" t="s">
        <v>28</v>
      </c>
      <c r="G151" t="s">
        <v>54</v>
      </c>
      <c r="H151" t="s">
        <v>30</v>
      </c>
      <c r="I151" t="s">
        <v>31</v>
      </c>
      <c r="J151" t="s">
        <v>42</v>
      </c>
      <c r="K151" t="s">
        <v>138</v>
      </c>
      <c r="L151" t="s">
        <v>67</v>
      </c>
      <c r="M151" t="s">
        <v>45</v>
      </c>
      <c r="O151">
        <v>3</v>
      </c>
      <c r="P151">
        <v>3</v>
      </c>
      <c r="Q151">
        <v>3</v>
      </c>
      <c r="R151" t="s">
        <v>36</v>
      </c>
      <c r="S151">
        <v>5</v>
      </c>
      <c r="T151">
        <v>6</v>
      </c>
      <c r="U151" t="s">
        <v>45</v>
      </c>
      <c r="V151" t="s">
        <v>130</v>
      </c>
      <c r="W151" s="2">
        <v>46318.447222222225</v>
      </c>
      <c r="X151" t="s">
        <v>39</v>
      </c>
    </row>
    <row r="152" spans="1:24" x14ac:dyDescent="0.25">
      <c r="A152" t="s">
        <v>262</v>
      </c>
      <c r="B152" t="s">
        <v>254</v>
      </c>
      <c r="C152" t="s">
        <v>255</v>
      </c>
      <c r="D152" s="1">
        <v>46316</v>
      </c>
      <c r="E152" t="s">
        <v>27</v>
      </c>
      <c r="F152" t="s">
        <v>28</v>
      </c>
      <c r="G152" t="s">
        <v>29</v>
      </c>
      <c r="H152" t="s">
        <v>30</v>
      </c>
      <c r="I152" t="s">
        <v>31</v>
      </c>
      <c r="J152" t="s">
        <v>163</v>
      </c>
      <c r="K152" t="s">
        <v>65</v>
      </c>
      <c r="L152" t="s">
        <v>34</v>
      </c>
      <c r="M152" t="s">
        <v>35</v>
      </c>
      <c r="N152">
        <v>4</v>
      </c>
      <c r="O152">
        <v>4</v>
      </c>
      <c r="P152">
        <v>4</v>
      </c>
      <c r="Q152">
        <v>4</v>
      </c>
      <c r="R152" t="s">
        <v>51</v>
      </c>
      <c r="S152">
        <v>4</v>
      </c>
      <c r="T152">
        <v>6</v>
      </c>
      <c r="U152" t="s">
        <v>45</v>
      </c>
      <c r="V152" t="s">
        <v>62</v>
      </c>
      <c r="W152" s="2">
        <v>46316.678472222222</v>
      </c>
      <c r="X152" t="s">
        <v>39</v>
      </c>
    </row>
    <row r="153" spans="1:24" x14ac:dyDescent="0.25">
      <c r="A153" t="s">
        <v>263</v>
      </c>
      <c r="B153" t="s">
        <v>254</v>
      </c>
      <c r="C153" t="s">
        <v>255</v>
      </c>
      <c r="D153" s="1">
        <v>46316</v>
      </c>
      <c r="E153" t="s">
        <v>27</v>
      </c>
      <c r="F153" t="s">
        <v>28</v>
      </c>
      <c r="G153" t="s">
        <v>29</v>
      </c>
      <c r="H153" t="s">
        <v>30</v>
      </c>
      <c r="I153" t="s">
        <v>31</v>
      </c>
      <c r="J153" t="s">
        <v>107</v>
      </c>
      <c r="K153" t="s">
        <v>43</v>
      </c>
      <c r="L153" t="s">
        <v>44</v>
      </c>
      <c r="M153" t="s">
        <v>45</v>
      </c>
      <c r="N153">
        <v>5</v>
      </c>
      <c r="O153">
        <v>4</v>
      </c>
      <c r="P153">
        <v>5</v>
      </c>
      <c r="Q153">
        <v>4</v>
      </c>
      <c r="R153" t="s">
        <v>51</v>
      </c>
      <c r="S153">
        <v>5</v>
      </c>
      <c r="T153">
        <v>8</v>
      </c>
      <c r="U153" t="s">
        <v>37</v>
      </c>
      <c r="W153" s="2">
        <v>46316.693749999999</v>
      </c>
      <c r="X153" t="s">
        <v>39</v>
      </c>
    </row>
    <row r="154" spans="1:24" x14ac:dyDescent="0.25">
      <c r="A154" t="s">
        <v>264</v>
      </c>
      <c r="B154" t="s">
        <v>254</v>
      </c>
      <c r="C154" t="s">
        <v>255</v>
      </c>
      <c r="D154" s="1">
        <v>46316</v>
      </c>
      <c r="E154" t="s">
        <v>27</v>
      </c>
      <c r="F154" t="s">
        <v>28</v>
      </c>
      <c r="G154" t="s">
        <v>54</v>
      </c>
      <c r="H154" t="s">
        <v>30</v>
      </c>
      <c r="I154" t="s">
        <v>31</v>
      </c>
      <c r="J154" t="s">
        <v>81</v>
      </c>
      <c r="K154" t="s">
        <v>65</v>
      </c>
      <c r="L154" t="s">
        <v>67</v>
      </c>
      <c r="M154" t="s">
        <v>45</v>
      </c>
      <c r="N154">
        <v>5</v>
      </c>
      <c r="O154">
        <v>5</v>
      </c>
      <c r="P154">
        <v>5</v>
      </c>
      <c r="Q154">
        <v>5</v>
      </c>
      <c r="R154" t="s">
        <v>51</v>
      </c>
      <c r="S154">
        <v>4</v>
      </c>
      <c r="T154">
        <v>8</v>
      </c>
      <c r="U154" t="s">
        <v>45</v>
      </c>
      <c r="W154" s="2">
        <v>46316.738888888889</v>
      </c>
      <c r="X154" t="s">
        <v>39</v>
      </c>
    </row>
    <row r="155" spans="1:24" x14ac:dyDescent="0.25">
      <c r="A155" t="s">
        <v>265</v>
      </c>
      <c r="B155" t="s">
        <v>254</v>
      </c>
      <c r="C155" t="s">
        <v>255</v>
      </c>
      <c r="D155" s="1">
        <v>46316</v>
      </c>
      <c r="E155" t="s">
        <v>27</v>
      </c>
      <c r="F155" t="s">
        <v>28</v>
      </c>
      <c r="G155" t="s">
        <v>132</v>
      </c>
      <c r="H155" t="s">
        <v>30</v>
      </c>
      <c r="I155" t="s">
        <v>31</v>
      </c>
      <c r="J155" t="s">
        <v>98</v>
      </c>
      <c r="K155" t="s">
        <v>43</v>
      </c>
      <c r="L155" t="s">
        <v>44</v>
      </c>
      <c r="M155" t="s">
        <v>45</v>
      </c>
      <c r="N155">
        <v>3</v>
      </c>
      <c r="O155">
        <v>5</v>
      </c>
      <c r="P155">
        <v>4</v>
      </c>
      <c r="Q155">
        <v>4</v>
      </c>
      <c r="R155" t="s">
        <v>36</v>
      </c>
      <c r="S155">
        <v>5</v>
      </c>
      <c r="T155">
        <v>9</v>
      </c>
      <c r="U155" t="s">
        <v>37</v>
      </c>
      <c r="W155" s="2">
        <v>46317.636805555558</v>
      </c>
      <c r="X155" t="s">
        <v>39</v>
      </c>
    </row>
    <row r="156" spans="1:24" x14ac:dyDescent="0.25">
      <c r="A156" t="s">
        <v>266</v>
      </c>
      <c r="B156" t="s">
        <v>267</v>
      </c>
      <c r="C156" t="s">
        <v>255</v>
      </c>
      <c r="D156" s="1">
        <v>46317</v>
      </c>
      <c r="E156" t="s">
        <v>77</v>
      </c>
      <c r="F156" t="s">
        <v>78</v>
      </c>
      <c r="G156" t="s">
        <v>85</v>
      </c>
      <c r="H156" t="s">
        <v>80</v>
      </c>
      <c r="I156" t="s">
        <v>31</v>
      </c>
      <c r="J156" t="s">
        <v>61</v>
      </c>
      <c r="K156" t="s">
        <v>65</v>
      </c>
      <c r="L156" t="s">
        <v>67</v>
      </c>
      <c r="M156" t="s">
        <v>45</v>
      </c>
      <c r="N156">
        <v>3</v>
      </c>
      <c r="O156">
        <v>5</v>
      </c>
      <c r="P156">
        <v>4</v>
      </c>
      <c r="Q156">
        <v>4</v>
      </c>
      <c r="R156" t="s">
        <v>51</v>
      </c>
      <c r="S156">
        <v>4</v>
      </c>
      <c r="T156">
        <v>9</v>
      </c>
      <c r="U156" t="s">
        <v>35</v>
      </c>
      <c r="V156" t="s">
        <v>38</v>
      </c>
      <c r="W156" s="2">
        <v>46318.34375</v>
      </c>
      <c r="X156" t="s">
        <v>39</v>
      </c>
    </row>
    <row r="157" spans="1:24" x14ac:dyDescent="0.25">
      <c r="A157" t="s">
        <v>268</v>
      </c>
      <c r="B157" t="s">
        <v>267</v>
      </c>
      <c r="C157" t="s">
        <v>255</v>
      </c>
      <c r="D157" s="1">
        <v>46317</v>
      </c>
      <c r="E157" t="s">
        <v>77</v>
      </c>
      <c r="F157" t="s">
        <v>78</v>
      </c>
      <c r="G157" t="s">
        <v>83</v>
      </c>
      <c r="H157" t="s">
        <v>80</v>
      </c>
      <c r="I157" t="s">
        <v>31</v>
      </c>
      <c r="J157" t="s">
        <v>42</v>
      </c>
      <c r="K157" t="s">
        <v>33</v>
      </c>
      <c r="L157" t="s">
        <v>34</v>
      </c>
      <c r="M157" t="s">
        <v>45</v>
      </c>
      <c r="N157">
        <v>3</v>
      </c>
      <c r="O157">
        <v>5</v>
      </c>
      <c r="P157">
        <v>5</v>
      </c>
      <c r="Q157">
        <v>5</v>
      </c>
      <c r="R157" t="s">
        <v>51</v>
      </c>
      <c r="S157">
        <v>4</v>
      </c>
      <c r="T157">
        <v>8</v>
      </c>
      <c r="U157" t="s">
        <v>45</v>
      </c>
      <c r="V157" t="s">
        <v>121</v>
      </c>
      <c r="W157" s="2">
        <v>46317.520833333336</v>
      </c>
      <c r="X157" t="s">
        <v>39</v>
      </c>
    </row>
    <row r="158" spans="1:24" x14ac:dyDescent="0.25">
      <c r="A158" t="s">
        <v>269</v>
      </c>
      <c r="B158" t="s">
        <v>267</v>
      </c>
      <c r="C158" t="s">
        <v>255</v>
      </c>
      <c r="D158" s="1">
        <v>46317</v>
      </c>
      <c r="E158" t="s">
        <v>77</v>
      </c>
      <c r="F158" t="s">
        <v>78</v>
      </c>
      <c r="G158" t="s">
        <v>85</v>
      </c>
      <c r="H158" t="s">
        <v>80</v>
      </c>
      <c r="I158" t="s">
        <v>31</v>
      </c>
      <c r="J158" t="s">
        <v>42</v>
      </c>
      <c r="K158" t="s">
        <v>55</v>
      </c>
      <c r="L158" t="s">
        <v>72</v>
      </c>
      <c r="M158" t="s">
        <v>45</v>
      </c>
      <c r="N158">
        <v>3</v>
      </c>
      <c r="O158">
        <v>4</v>
      </c>
      <c r="P158">
        <v>4</v>
      </c>
      <c r="Q158">
        <v>4</v>
      </c>
      <c r="R158" t="s">
        <v>36</v>
      </c>
      <c r="S158">
        <v>4</v>
      </c>
      <c r="T158">
        <v>7</v>
      </c>
      <c r="U158" t="s">
        <v>37</v>
      </c>
      <c r="V158" t="s">
        <v>62</v>
      </c>
      <c r="W158" s="2">
        <v>46317.543749999997</v>
      </c>
      <c r="X158" t="s">
        <v>39</v>
      </c>
    </row>
    <row r="159" spans="1:24" x14ac:dyDescent="0.25">
      <c r="A159" t="s">
        <v>270</v>
      </c>
      <c r="B159" t="s">
        <v>267</v>
      </c>
      <c r="C159" t="s">
        <v>255</v>
      </c>
      <c r="D159" s="1">
        <v>46317</v>
      </c>
      <c r="E159" t="s">
        <v>77</v>
      </c>
      <c r="F159" t="s">
        <v>78</v>
      </c>
      <c r="G159" t="s">
        <v>79</v>
      </c>
      <c r="H159" t="s">
        <v>80</v>
      </c>
      <c r="I159" t="s">
        <v>31</v>
      </c>
      <c r="J159" t="s">
        <v>71</v>
      </c>
      <c r="K159" t="s">
        <v>138</v>
      </c>
      <c r="L159" t="s">
        <v>44</v>
      </c>
      <c r="M159" t="s">
        <v>45</v>
      </c>
      <c r="N159">
        <v>2</v>
      </c>
      <c r="O159">
        <v>2</v>
      </c>
      <c r="P159">
        <v>3</v>
      </c>
      <c r="Q159">
        <v>3</v>
      </c>
      <c r="R159" t="s">
        <v>51</v>
      </c>
      <c r="S159">
        <v>5</v>
      </c>
      <c r="T159">
        <v>5</v>
      </c>
      <c r="U159" t="s">
        <v>45</v>
      </c>
      <c r="V159" t="s">
        <v>108</v>
      </c>
      <c r="W159" s="2">
        <v>46317.73333333333</v>
      </c>
      <c r="X159" t="s">
        <v>39</v>
      </c>
    </row>
    <row r="160" spans="1:24" x14ac:dyDescent="0.25">
      <c r="A160" t="s">
        <v>271</v>
      </c>
      <c r="B160" t="s">
        <v>267</v>
      </c>
      <c r="C160" t="s">
        <v>255</v>
      </c>
      <c r="D160" s="1">
        <v>46317</v>
      </c>
      <c r="E160" t="s">
        <v>77</v>
      </c>
      <c r="F160" t="s">
        <v>78</v>
      </c>
      <c r="G160" t="s">
        <v>85</v>
      </c>
      <c r="H160" t="s">
        <v>80</v>
      </c>
      <c r="I160" t="s">
        <v>31</v>
      </c>
      <c r="J160" t="s">
        <v>50</v>
      </c>
      <c r="K160" t="s">
        <v>65</v>
      </c>
      <c r="L160" t="s">
        <v>34</v>
      </c>
      <c r="M160" t="s">
        <v>45</v>
      </c>
      <c r="N160">
        <v>4</v>
      </c>
      <c r="P160">
        <v>3</v>
      </c>
      <c r="Q160">
        <v>4</v>
      </c>
      <c r="R160" t="s">
        <v>51</v>
      </c>
      <c r="S160">
        <v>5</v>
      </c>
      <c r="T160">
        <v>8</v>
      </c>
      <c r="U160" t="s">
        <v>45</v>
      </c>
      <c r="W160" s="2">
        <v>46318.59652777778</v>
      </c>
      <c r="X160" t="s">
        <v>39</v>
      </c>
    </row>
    <row r="161" spans="1:24" x14ac:dyDescent="0.25">
      <c r="A161" t="s">
        <v>272</v>
      </c>
      <c r="B161" t="s">
        <v>267</v>
      </c>
      <c r="C161" t="s">
        <v>255</v>
      </c>
      <c r="D161" s="1">
        <v>46317</v>
      </c>
      <c r="E161" t="s">
        <v>77</v>
      </c>
      <c r="F161" t="s">
        <v>78</v>
      </c>
      <c r="G161" t="s">
        <v>79</v>
      </c>
      <c r="H161" t="s">
        <v>80</v>
      </c>
      <c r="I161" t="s">
        <v>31</v>
      </c>
      <c r="J161" t="s">
        <v>94</v>
      </c>
      <c r="K161" t="s">
        <v>55</v>
      </c>
      <c r="L161" t="s">
        <v>67</v>
      </c>
      <c r="M161" t="s">
        <v>45</v>
      </c>
      <c r="N161">
        <v>3</v>
      </c>
      <c r="O161">
        <v>3</v>
      </c>
      <c r="P161">
        <v>3</v>
      </c>
      <c r="Q161">
        <v>3</v>
      </c>
      <c r="R161" t="s">
        <v>51</v>
      </c>
      <c r="S161">
        <v>3</v>
      </c>
      <c r="T161">
        <v>6</v>
      </c>
      <c r="U161" t="s">
        <v>45</v>
      </c>
      <c r="W161" s="2">
        <v>46317.569444444445</v>
      </c>
      <c r="X161" t="s">
        <v>39</v>
      </c>
    </row>
    <row r="162" spans="1:24" x14ac:dyDescent="0.25">
      <c r="A162" t="s">
        <v>273</v>
      </c>
      <c r="B162" t="s">
        <v>267</v>
      </c>
      <c r="C162" t="s">
        <v>255</v>
      </c>
      <c r="D162" s="1">
        <v>46317</v>
      </c>
      <c r="E162" t="s">
        <v>77</v>
      </c>
      <c r="F162" t="s">
        <v>78</v>
      </c>
      <c r="G162" t="s">
        <v>79</v>
      </c>
      <c r="H162" t="s">
        <v>80</v>
      </c>
      <c r="I162" t="s">
        <v>31</v>
      </c>
      <c r="J162" t="s">
        <v>32</v>
      </c>
      <c r="K162" t="s">
        <v>43</v>
      </c>
      <c r="L162" t="s">
        <v>72</v>
      </c>
      <c r="M162" t="s">
        <v>45</v>
      </c>
      <c r="N162">
        <v>5</v>
      </c>
      <c r="O162">
        <v>4</v>
      </c>
      <c r="P162">
        <v>4</v>
      </c>
      <c r="Q162">
        <v>4</v>
      </c>
      <c r="R162" t="s">
        <v>51</v>
      </c>
      <c r="S162">
        <v>4</v>
      </c>
      <c r="T162">
        <v>9</v>
      </c>
      <c r="U162" t="s">
        <v>45</v>
      </c>
      <c r="V162" t="s">
        <v>147</v>
      </c>
      <c r="W162" s="2">
        <v>46317.636805555558</v>
      </c>
      <c r="X162" t="s">
        <v>39</v>
      </c>
    </row>
    <row r="163" spans="1:24" x14ac:dyDescent="0.25">
      <c r="A163" t="s">
        <v>274</v>
      </c>
      <c r="B163" t="s">
        <v>267</v>
      </c>
      <c r="C163" t="s">
        <v>255</v>
      </c>
      <c r="D163" s="1">
        <v>46317</v>
      </c>
      <c r="E163" t="s">
        <v>77</v>
      </c>
      <c r="F163" t="s">
        <v>78</v>
      </c>
      <c r="G163" t="s">
        <v>79</v>
      </c>
      <c r="H163" t="s">
        <v>80</v>
      </c>
      <c r="I163" t="s">
        <v>31</v>
      </c>
      <c r="J163" t="s">
        <v>81</v>
      </c>
      <c r="K163" t="s">
        <v>65</v>
      </c>
      <c r="L163" t="s">
        <v>44</v>
      </c>
      <c r="M163" t="s">
        <v>35</v>
      </c>
      <c r="N163">
        <v>5</v>
      </c>
      <c r="O163">
        <v>4</v>
      </c>
      <c r="P163">
        <v>4</v>
      </c>
      <c r="Q163">
        <v>5</v>
      </c>
      <c r="R163" t="s">
        <v>51</v>
      </c>
      <c r="S163">
        <v>5</v>
      </c>
      <c r="T163">
        <v>9</v>
      </c>
      <c r="U163" t="s">
        <v>45</v>
      </c>
      <c r="V163" t="s">
        <v>91</v>
      </c>
      <c r="W163" s="2">
        <v>46317.513194444444</v>
      </c>
      <c r="X163" t="s">
        <v>39</v>
      </c>
    </row>
    <row r="164" spans="1:24" x14ac:dyDescent="0.25">
      <c r="A164" t="s">
        <v>275</v>
      </c>
      <c r="B164" t="s">
        <v>267</v>
      </c>
      <c r="C164" t="s">
        <v>255</v>
      </c>
      <c r="D164" s="1">
        <v>46317</v>
      </c>
      <c r="E164" t="s">
        <v>77</v>
      </c>
      <c r="F164" t="s">
        <v>78</v>
      </c>
      <c r="G164" t="s">
        <v>85</v>
      </c>
      <c r="H164" t="s">
        <v>80</v>
      </c>
      <c r="I164" t="s">
        <v>31</v>
      </c>
      <c r="J164" t="s">
        <v>98</v>
      </c>
      <c r="K164" t="s">
        <v>138</v>
      </c>
      <c r="L164" t="s">
        <v>58</v>
      </c>
      <c r="M164" t="s">
        <v>45</v>
      </c>
      <c r="N164">
        <v>4</v>
      </c>
      <c r="O164">
        <v>5</v>
      </c>
      <c r="P164">
        <v>4</v>
      </c>
      <c r="Q164">
        <v>5</v>
      </c>
      <c r="R164" t="s">
        <v>51</v>
      </c>
      <c r="S164">
        <v>5</v>
      </c>
      <c r="T164">
        <v>10</v>
      </c>
      <c r="U164" t="s">
        <v>45</v>
      </c>
      <c r="V164" t="s">
        <v>38</v>
      </c>
      <c r="W164" s="2">
        <v>46319.499305555553</v>
      </c>
      <c r="X164" t="s">
        <v>39</v>
      </c>
    </row>
    <row r="165" spans="1:24" x14ac:dyDescent="0.25">
      <c r="A165" t="s">
        <v>276</v>
      </c>
      <c r="B165" t="s">
        <v>267</v>
      </c>
      <c r="C165" t="s">
        <v>255</v>
      </c>
      <c r="D165" s="1">
        <v>46317</v>
      </c>
      <c r="E165" t="s">
        <v>77</v>
      </c>
      <c r="F165" t="s">
        <v>78</v>
      </c>
      <c r="G165" t="s">
        <v>85</v>
      </c>
      <c r="H165" t="s">
        <v>80</v>
      </c>
      <c r="I165" t="s">
        <v>31</v>
      </c>
      <c r="J165" t="s">
        <v>42</v>
      </c>
      <c r="K165" t="s">
        <v>138</v>
      </c>
      <c r="L165" t="s">
        <v>72</v>
      </c>
      <c r="M165" t="s">
        <v>45</v>
      </c>
      <c r="N165">
        <v>5</v>
      </c>
      <c r="O165">
        <v>5</v>
      </c>
      <c r="P165">
        <v>5</v>
      </c>
      <c r="Q165">
        <v>4</v>
      </c>
      <c r="R165" t="s">
        <v>51</v>
      </c>
      <c r="S165">
        <v>4</v>
      </c>
      <c r="T165">
        <v>9</v>
      </c>
      <c r="U165" t="s">
        <v>45</v>
      </c>
      <c r="V165" t="s">
        <v>74</v>
      </c>
      <c r="W165" s="2">
        <v>46317.632638888892</v>
      </c>
      <c r="X165" t="s">
        <v>39</v>
      </c>
    </row>
    <row r="166" spans="1:24" x14ac:dyDescent="0.25">
      <c r="A166" t="s">
        <v>277</v>
      </c>
      <c r="B166" t="s">
        <v>267</v>
      </c>
      <c r="C166" t="s">
        <v>255</v>
      </c>
      <c r="D166" s="1">
        <v>46317</v>
      </c>
      <c r="E166" t="s">
        <v>77</v>
      </c>
      <c r="F166" t="s">
        <v>78</v>
      </c>
      <c r="G166" t="s">
        <v>85</v>
      </c>
      <c r="H166" t="s">
        <v>80</v>
      </c>
      <c r="I166" t="s">
        <v>31</v>
      </c>
      <c r="J166" t="s">
        <v>94</v>
      </c>
      <c r="K166" t="s">
        <v>55</v>
      </c>
      <c r="L166" t="s">
        <v>72</v>
      </c>
      <c r="M166" t="s">
        <v>45</v>
      </c>
      <c r="N166">
        <v>4</v>
      </c>
      <c r="O166">
        <v>4</v>
      </c>
      <c r="P166">
        <v>4</v>
      </c>
      <c r="Q166">
        <v>3</v>
      </c>
      <c r="R166" t="s">
        <v>46</v>
      </c>
      <c r="S166">
        <v>4</v>
      </c>
      <c r="T166">
        <v>6</v>
      </c>
      <c r="U166" t="s">
        <v>45</v>
      </c>
      <c r="V166" t="s">
        <v>52</v>
      </c>
      <c r="W166" s="2">
        <v>46317.67083333333</v>
      </c>
      <c r="X166" t="s">
        <v>39</v>
      </c>
    </row>
    <row r="167" spans="1:24" x14ac:dyDescent="0.25">
      <c r="A167" t="s">
        <v>278</v>
      </c>
      <c r="B167" t="s">
        <v>267</v>
      </c>
      <c r="C167" t="s">
        <v>255</v>
      </c>
      <c r="D167" s="1">
        <v>46317</v>
      </c>
      <c r="E167" t="s">
        <v>77</v>
      </c>
      <c r="F167" t="s">
        <v>78</v>
      </c>
      <c r="G167" t="s">
        <v>79</v>
      </c>
      <c r="H167" t="s">
        <v>80</v>
      </c>
      <c r="I167" t="s">
        <v>31</v>
      </c>
      <c r="J167" t="s">
        <v>86</v>
      </c>
      <c r="K167" t="s">
        <v>33</v>
      </c>
      <c r="L167" t="s">
        <v>58</v>
      </c>
      <c r="M167" t="s">
        <v>45</v>
      </c>
      <c r="N167">
        <v>3</v>
      </c>
      <c r="O167">
        <v>3</v>
      </c>
      <c r="P167">
        <v>3</v>
      </c>
      <c r="Q167">
        <v>4</v>
      </c>
      <c r="R167" t="s">
        <v>51</v>
      </c>
      <c r="S167">
        <v>3</v>
      </c>
      <c r="T167">
        <v>7</v>
      </c>
      <c r="U167" t="s">
        <v>45</v>
      </c>
      <c r="V167" t="s">
        <v>147</v>
      </c>
      <c r="W167" s="2">
        <v>46317.738888888889</v>
      </c>
      <c r="X167" t="s">
        <v>39</v>
      </c>
    </row>
    <row r="168" spans="1:24" x14ac:dyDescent="0.25">
      <c r="A168" t="s">
        <v>279</v>
      </c>
      <c r="B168" t="s">
        <v>267</v>
      </c>
      <c r="C168" t="s">
        <v>255</v>
      </c>
      <c r="D168" s="1">
        <v>46317</v>
      </c>
      <c r="E168" t="s">
        <v>77</v>
      </c>
      <c r="F168" t="s">
        <v>78</v>
      </c>
      <c r="G168" t="s">
        <v>85</v>
      </c>
      <c r="H168" t="s">
        <v>80</v>
      </c>
      <c r="I168" t="s">
        <v>31</v>
      </c>
      <c r="J168" t="s">
        <v>61</v>
      </c>
      <c r="K168" t="s">
        <v>33</v>
      </c>
      <c r="L168" t="s">
        <v>58</v>
      </c>
      <c r="M168" t="s">
        <v>45</v>
      </c>
      <c r="N168">
        <v>5</v>
      </c>
      <c r="O168">
        <v>5</v>
      </c>
      <c r="P168">
        <v>5</v>
      </c>
      <c r="Q168">
        <v>5</v>
      </c>
      <c r="R168" t="s">
        <v>51</v>
      </c>
      <c r="S168">
        <v>4</v>
      </c>
      <c r="T168">
        <v>10</v>
      </c>
      <c r="U168" t="s">
        <v>45</v>
      </c>
      <c r="V168" t="s">
        <v>91</v>
      </c>
      <c r="W168" s="2">
        <v>46317.51458333333</v>
      </c>
      <c r="X168" t="s">
        <v>39</v>
      </c>
    </row>
    <row r="169" spans="1:24" x14ac:dyDescent="0.25">
      <c r="A169" t="s">
        <v>280</v>
      </c>
      <c r="B169" t="s">
        <v>267</v>
      </c>
      <c r="C169" t="s">
        <v>255</v>
      </c>
      <c r="D169" s="1">
        <v>46317</v>
      </c>
      <c r="E169" t="s">
        <v>77</v>
      </c>
      <c r="F169" t="s">
        <v>78</v>
      </c>
      <c r="G169" t="s">
        <v>85</v>
      </c>
      <c r="H169" t="s">
        <v>80</v>
      </c>
      <c r="I169" t="s">
        <v>31</v>
      </c>
      <c r="J169" t="s">
        <v>50</v>
      </c>
      <c r="K169" t="s">
        <v>65</v>
      </c>
      <c r="L169" t="s">
        <v>72</v>
      </c>
      <c r="M169" t="s">
        <v>45</v>
      </c>
      <c r="N169">
        <v>5</v>
      </c>
      <c r="O169">
        <v>4</v>
      </c>
      <c r="P169">
        <v>4</v>
      </c>
      <c r="Q169">
        <v>4</v>
      </c>
      <c r="R169" t="s">
        <v>51</v>
      </c>
      <c r="S169">
        <v>5</v>
      </c>
      <c r="T169">
        <v>10</v>
      </c>
      <c r="U169" t="s">
        <v>35</v>
      </c>
      <c r="V169" t="s">
        <v>91</v>
      </c>
      <c r="W169" s="2">
        <v>46319.634722222225</v>
      </c>
      <c r="X169" t="s">
        <v>39</v>
      </c>
    </row>
    <row r="170" spans="1:24" x14ac:dyDescent="0.25">
      <c r="A170" t="s">
        <v>281</v>
      </c>
      <c r="B170" t="s">
        <v>282</v>
      </c>
      <c r="C170" t="s">
        <v>255</v>
      </c>
      <c r="D170" s="1">
        <v>46318</v>
      </c>
      <c r="E170" t="s">
        <v>102</v>
      </c>
      <c r="F170" t="s">
        <v>103</v>
      </c>
      <c r="G170" t="s">
        <v>110</v>
      </c>
      <c r="H170" t="s">
        <v>105</v>
      </c>
      <c r="I170" t="s">
        <v>31</v>
      </c>
      <c r="J170" t="s">
        <v>107</v>
      </c>
      <c r="K170" t="s">
        <v>55</v>
      </c>
      <c r="L170" t="s">
        <v>67</v>
      </c>
      <c r="M170" t="s">
        <v>45</v>
      </c>
      <c r="N170">
        <v>5</v>
      </c>
      <c r="O170">
        <v>5</v>
      </c>
      <c r="P170">
        <v>5</v>
      </c>
      <c r="Q170">
        <v>5</v>
      </c>
      <c r="R170" t="s">
        <v>36</v>
      </c>
      <c r="S170">
        <v>5</v>
      </c>
      <c r="T170">
        <v>10</v>
      </c>
      <c r="U170" t="s">
        <v>45</v>
      </c>
      <c r="V170" t="s">
        <v>62</v>
      </c>
      <c r="W170" s="2">
        <v>46319.522222222222</v>
      </c>
      <c r="X170" t="s">
        <v>39</v>
      </c>
    </row>
    <row r="171" spans="1:24" x14ac:dyDescent="0.25">
      <c r="A171" t="s">
        <v>283</v>
      </c>
      <c r="B171" t="s">
        <v>282</v>
      </c>
      <c r="C171" t="s">
        <v>255</v>
      </c>
      <c r="D171" s="1">
        <v>46318</v>
      </c>
      <c r="E171" t="s">
        <v>102</v>
      </c>
      <c r="F171" t="s">
        <v>103</v>
      </c>
      <c r="G171" t="s">
        <v>104</v>
      </c>
      <c r="H171" t="s">
        <v>105</v>
      </c>
      <c r="I171" t="s">
        <v>31</v>
      </c>
      <c r="J171" t="s">
        <v>163</v>
      </c>
      <c r="K171" t="s">
        <v>65</v>
      </c>
      <c r="L171" t="s">
        <v>44</v>
      </c>
      <c r="M171" t="s">
        <v>45</v>
      </c>
      <c r="N171">
        <v>5</v>
      </c>
      <c r="O171">
        <v>5</v>
      </c>
      <c r="P171">
        <v>5</v>
      </c>
      <c r="Q171">
        <v>5</v>
      </c>
      <c r="R171" t="s">
        <v>51</v>
      </c>
      <c r="S171">
        <v>3</v>
      </c>
      <c r="T171">
        <v>10</v>
      </c>
      <c r="U171" t="s">
        <v>45</v>
      </c>
      <c r="V171" t="s">
        <v>59</v>
      </c>
      <c r="W171" s="2">
        <v>46318.70416666667</v>
      </c>
      <c r="X171" t="s">
        <v>39</v>
      </c>
    </row>
    <row r="172" spans="1:24" x14ac:dyDescent="0.25">
      <c r="A172" t="s">
        <v>284</v>
      </c>
      <c r="B172" t="s">
        <v>282</v>
      </c>
      <c r="C172" t="s">
        <v>255</v>
      </c>
      <c r="D172" s="1">
        <v>46318</v>
      </c>
      <c r="E172" t="s">
        <v>102</v>
      </c>
      <c r="F172" t="s">
        <v>103</v>
      </c>
      <c r="G172" t="s">
        <v>112</v>
      </c>
      <c r="H172" t="s">
        <v>105</v>
      </c>
      <c r="I172" t="s">
        <v>31</v>
      </c>
      <c r="J172" t="s">
        <v>32</v>
      </c>
      <c r="K172" t="s">
        <v>33</v>
      </c>
      <c r="L172" t="s">
        <v>44</v>
      </c>
      <c r="M172" t="s">
        <v>45</v>
      </c>
      <c r="N172">
        <v>5</v>
      </c>
      <c r="O172">
        <v>5</v>
      </c>
      <c r="P172">
        <v>5</v>
      </c>
      <c r="Q172">
        <v>5</v>
      </c>
      <c r="R172" t="s">
        <v>46</v>
      </c>
      <c r="S172">
        <v>5</v>
      </c>
      <c r="T172">
        <v>10</v>
      </c>
      <c r="U172" t="s">
        <v>37</v>
      </c>
      <c r="V172" t="s">
        <v>125</v>
      </c>
      <c r="W172" s="2">
        <v>46318.585416666669</v>
      </c>
      <c r="X172" t="s">
        <v>39</v>
      </c>
    </row>
    <row r="173" spans="1:24" x14ac:dyDescent="0.25">
      <c r="A173" t="s">
        <v>285</v>
      </c>
      <c r="B173" t="s">
        <v>282</v>
      </c>
      <c r="C173" t="s">
        <v>255</v>
      </c>
      <c r="D173" s="1">
        <v>46318</v>
      </c>
      <c r="E173" t="s">
        <v>102</v>
      </c>
      <c r="F173" t="s">
        <v>103</v>
      </c>
      <c r="G173" t="s">
        <v>110</v>
      </c>
      <c r="H173" t="s">
        <v>105</v>
      </c>
      <c r="I173" t="s">
        <v>31</v>
      </c>
      <c r="J173" t="s">
        <v>71</v>
      </c>
      <c r="K173" t="s">
        <v>33</v>
      </c>
      <c r="L173" t="s">
        <v>72</v>
      </c>
      <c r="M173" t="s">
        <v>45</v>
      </c>
      <c r="N173">
        <v>5</v>
      </c>
      <c r="O173">
        <v>4</v>
      </c>
      <c r="P173">
        <v>3</v>
      </c>
      <c r="Q173">
        <v>3</v>
      </c>
      <c r="R173" t="s">
        <v>51</v>
      </c>
      <c r="S173">
        <v>4</v>
      </c>
      <c r="T173">
        <v>8</v>
      </c>
      <c r="U173" t="s">
        <v>45</v>
      </c>
      <c r="V173" t="s">
        <v>62</v>
      </c>
      <c r="W173" s="2">
        <v>46318.63958333333</v>
      </c>
      <c r="X173" t="s">
        <v>39</v>
      </c>
    </row>
    <row r="174" spans="1:24" x14ac:dyDescent="0.25">
      <c r="A174" t="s">
        <v>286</v>
      </c>
      <c r="B174" t="s">
        <v>282</v>
      </c>
      <c r="C174" t="s">
        <v>255</v>
      </c>
      <c r="D174" s="1">
        <v>46318</v>
      </c>
      <c r="E174" t="s">
        <v>102</v>
      </c>
      <c r="F174" t="s">
        <v>103</v>
      </c>
      <c r="G174" t="s">
        <v>112</v>
      </c>
      <c r="H174" t="s">
        <v>105</v>
      </c>
      <c r="I174" t="s">
        <v>31</v>
      </c>
      <c r="J174" t="s">
        <v>98</v>
      </c>
      <c r="K174" t="s">
        <v>138</v>
      </c>
      <c r="L174" t="s">
        <v>58</v>
      </c>
      <c r="M174" t="s">
        <v>45</v>
      </c>
      <c r="N174">
        <v>4</v>
      </c>
      <c r="O174">
        <v>5</v>
      </c>
      <c r="P174">
        <v>3</v>
      </c>
      <c r="Q174">
        <v>4</v>
      </c>
      <c r="R174" t="s">
        <v>46</v>
      </c>
      <c r="S174">
        <v>5</v>
      </c>
      <c r="T174">
        <v>8</v>
      </c>
      <c r="U174" t="s">
        <v>45</v>
      </c>
      <c r="V174" t="s">
        <v>125</v>
      </c>
      <c r="W174" s="2">
        <v>46320.392361111109</v>
      </c>
      <c r="X174" t="s">
        <v>39</v>
      </c>
    </row>
    <row r="175" spans="1:24" x14ac:dyDescent="0.25">
      <c r="A175" t="s">
        <v>287</v>
      </c>
      <c r="B175" t="s">
        <v>282</v>
      </c>
      <c r="C175" t="s">
        <v>255</v>
      </c>
      <c r="D175" s="1">
        <v>46318</v>
      </c>
      <c r="E175" t="s">
        <v>102</v>
      </c>
      <c r="F175" t="s">
        <v>103</v>
      </c>
      <c r="G175" t="s">
        <v>110</v>
      </c>
      <c r="H175" t="s">
        <v>105</v>
      </c>
      <c r="I175" t="s">
        <v>31</v>
      </c>
      <c r="J175" t="s">
        <v>32</v>
      </c>
      <c r="K175" t="s">
        <v>55</v>
      </c>
      <c r="L175" t="s">
        <v>72</v>
      </c>
      <c r="M175" t="s">
        <v>45</v>
      </c>
      <c r="O175">
        <v>4</v>
      </c>
      <c r="P175">
        <v>5</v>
      </c>
      <c r="Q175">
        <v>4</v>
      </c>
      <c r="R175" t="s">
        <v>51</v>
      </c>
      <c r="S175">
        <v>5</v>
      </c>
      <c r="T175">
        <v>8</v>
      </c>
      <c r="U175" t="s">
        <v>45</v>
      </c>
      <c r="V175" t="s">
        <v>147</v>
      </c>
      <c r="W175" s="2">
        <v>46320.506944444445</v>
      </c>
      <c r="X175" t="s">
        <v>39</v>
      </c>
    </row>
    <row r="176" spans="1:24" x14ac:dyDescent="0.25">
      <c r="A176" t="s">
        <v>288</v>
      </c>
      <c r="B176" t="s">
        <v>282</v>
      </c>
      <c r="C176" t="s">
        <v>255</v>
      </c>
      <c r="D176" s="1">
        <v>46318</v>
      </c>
      <c r="E176" t="s">
        <v>102</v>
      </c>
      <c r="F176" t="s">
        <v>103</v>
      </c>
      <c r="G176" t="s">
        <v>112</v>
      </c>
      <c r="H176" t="s">
        <v>105</v>
      </c>
      <c r="I176" t="s">
        <v>31</v>
      </c>
      <c r="J176" t="s">
        <v>107</v>
      </c>
      <c r="K176" t="s">
        <v>33</v>
      </c>
      <c r="L176" t="s">
        <v>34</v>
      </c>
      <c r="M176" t="s">
        <v>45</v>
      </c>
      <c r="N176">
        <v>5</v>
      </c>
      <c r="O176">
        <v>5</v>
      </c>
      <c r="P176">
        <v>5</v>
      </c>
      <c r="Q176">
        <v>5</v>
      </c>
      <c r="R176" t="s">
        <v>51</v>
      </c>
      <c r="S176">
        <v>5</v>
      </c>
      <c r="T176">
        <v>10</v>
      </c>
      <c r="U176" t="s">
        <v>45</v>
      </c>
      <c r="V176" t="s">
        <v>91</v>
      </c>
      <c r="W176" s="2">
        <v>46318.553472222222</v>
      </c>
      <c r="X176" t="s">
        <v>39</v>
      </c>
    </row>
    <row r="177" spans="1:24" x14ac:dyDescent="0.25">
      <c r="A177" t="s">
        <v>289</v>
      </c>
      <c r="B177" t="s">
        <v>282</v>
      </c>
      <c r="C177" t="s">
        <v>255</v>
      </c>
      <c r="D177" s="1">
        <v>46318</v>
      </c>
      <c r="E177" t="s">
        <v>102</v>
      </c>
      <c r="F177" t="s">
        <v>103</v>
      </c>
      <c r="G177" t="s">
        <v>112</v>
      </c>
      <c r="H177" t="s">
        <v>105</v>
      </c>
      <c r="I177" t="s">
        <v>31</v>
      </c>
      <c r="J177" t="s">
        <v>94</v>
      </c>
      <c r="K177" t="s">
        <v>138</v>
      </c>
      <c r="L177" t="s">
        <v>58</v>
      </c>
      <c r="M177" t="s">
        <v>45</v>
      </c>
      <c r="N177">
        <v>5</v>
      </c>
      <c r="O177">
        <v>5</v>
      </c>
      <c r="P177">
        <v>4</v>
      </c>
      <c r="Q177">
        <v>4</v>
      </c>
      <c r="R177" t="s">
        <v>51</v>
      </c>
      <c r="S177">
        <v>5</v>
      </c>
      <c r="T177">
        <v>10</v>
      </c>
      <c r="U177" t="s">
        <v>45</v>
      </c>
      <c r="V177" t="s">
        <v>95</v>
      </c>
      <c r="W177" s="2">
        <v>46318.805555555555</v>
      </c>
      <c r="X177" t="s">
        <v>39</v>
      </c>
    </row>
    <row r="178" spans="1:24" x14ac:dyDescent="0.25">
      <c r="A178" t="s">
        <v>290</v>
      </c>
      <c r="B178" t="s">
        <v>282</v>
      </c>
      <c r="C178" t="s">
        <v>255</v>
      </c>
      <c r="D178" s="1">
        <v>46318</v>
      </c>
      <c r="E178" t="s">
        <v>102</v>
      </c>
      <c r="F178" t="s">
        <v>103</v>
      </c>
      <c r="G178" t="s">
        <v>110</v>
      </c>
      <c r="H178" t="s">
        <v>105</v>
      </c>
      <c r="I178" t="s">
        <v>31</v>
      </c>
      <c r="J178" t="s">
        <v>163</v>
      </c>
      <c r="K178" t="s">
        <v>138</v>
      </c>
      <c r="L178" t="s">
        <v>44</v>
      </c>
      <c r="M178" t="s">
        <v>45</v>
      </c>
      <c r="N178">
        <v>4</v>
      </c>
      <c r="O178">
        <v>5</v>
      </c>
      <c r="P178">
        <v>4</v>
      </c>
      <c r="Q178">
        <v>5</v>
      </c>
      <c r="R178" t="s">
        <v>51</v>
      </c>
      <c r="S178">
        <v>5</v>
      </c>
      <c r="T178">
        <v>10</v>
      </c>
      <c r="U178" t="s">
        <v>45</v>
      </c>
      <c r="V178" t="s">
        <v>59</v>
      </c>
      <c r="W178" s="2">
        <v>46319.772222222222</v>
      </c>
      <c r="X178" t="s">
        <v>39</v>
      </c>
    </row>
    <row r="179" spans="1:24" x14ac:dyDescent="0.25">
      <c r="A179" t="s">
        <v>291</v>
      </c>
      <c r="B179" t="s">
        <v>282</v>
      </c>
      <c r="C179" t="s">
        <v>255</v>
      </c>
      <c r="D179" s="1">
        <v>46318</v>
      </c>
      <c r="E179" t="s">
        <v>102</v>
      </c>
      <c r="F179" t="s">
        <v>103</v>
      </c>
      <c r="G179" t="s">
        <v>104</v>
      </c>
      <c r="H179" t="s">
        <v>105</v>
      </c>
      <c r="I179" t="s">
        <v>31</v>
      </c>
      <c r="J179" t="s">
        <v>107</v>
      </c>
      <c r="K179" t="s">
        <v>138</v>
      </c>
      <c r="L179" t="s">
        <v>58</v>
      </c>
      <c r="M179" t="s">
        <v>45</v>
      </c>
      <c r="N179">
        <v>3</v>
      </c>
      <c r="O179">
        <v>3</v>
      </c>
      <c r="P179">
        <v>2</v>
      </c>
      <c r="Q179">
        <v>4</v>
      </c>
      <c r="R179" t="s">
        <v>36</v>
      </c>
      <c r="S179">
        <v>4</v>
      </c>
      <c r="T179">
        <v>6</v>
      </c>
      <c r="U179" t="s">
        <v>45</v>
      </c>
      <c r="V179" t="s">
        <v>130</v>
      </c>
      <c r="W179" s="2">
        <v>46318.477083333331</v>
      </c>
      <c r="X179" t="s">
        <v>39</v>
      </c>
    </row>
    <row r="180" spans="1:24" x14ac:dyDescent="0.25">
      <c r="A180" t="s">
        <v>292</v>
      </c>
      <c r="B180" t="s">
        <v>282</v>
      </c>
      <c r="C180" t="s">
        <v>255</v>
      </c>
      <c r="D180" s="1">
        <v>46318</v>
      </c>
      <c r="E180" t="s">
        <v>102</v>
      </c>
      <c r="F180" t="s">
        <v>103</v>
      </c>
      <c r="G180" t="s">
        <v>104</v>
      </c>
      <c r="H180" t="s">
        <v>105</v>
      </c>
      <c r="I180" t="s">
        <v>31</v>
      </c>
      <c r="J180" t="s">
        <v>128</v>
      </c>
      <c r="K180" t="s">
        <v>33</v>
      </c>
      <c r="L180" t="s">
        <v>67</v>
      </c>
      <c r="M180" t="s">
        <v>45</v>
      </c>
      <c r="N180">
        <v>3</v>
      </c>
      <c r="O180">
        <v>3</v>
      </c>
      <c r="P180">
        <v>2</v>
      </c>
      <c r="Q180">
        <v>3</v>
      </c>
      <c r="R180" t="s">
        <v>36</v>
      </c>
      <c r="S180">
        <v>5</v>
      </c>
      <c r="T180">
        <v>7</v>
      </c>
      <c r="U180" t="s">
        <v>45</v>
      </c>
      <c r="V180" t="s">
        <v>69</v>
      </c>
      <c r="W180" s="2">
        <v>46320.629861111112</v>
      </c>
      <c r="X180" t="s">
        <v>39</v>
      </c>
    </row>
    <row r="181" spans="1:24" x14ac:dyDescent="0.25">
      <c r="A181" t="s">
        <v>293</v>
      </c>
      <c r="B181" t="s">
        <v>282</v>
      </c>
      <c r="C181" t="s">
        <v>255</v>
      </c>
      <c r="D181" s="1">
        <v>46318</v>
      </c>
      <c r="E181" t="s">
        <v>102</v>
      </c>
      <c r="F181" t="s">
        <v>103</v>
      </c>
      <c r="G181" t="s">
        <v>104</v>
      </c>
      <c r="H181" t="s">
        <v>105</v>
      </c>
      <c r="I181" t="s">
        <v>31</v>
      </c>
      <c r="J181" t="s">
        <v>128</v>
      </c>
      <c r="K181" t="s">
        <v>138</v>
      </c>
      <c r="L181" t="s">
        <v>34</v>
      </c>
      <c r="M181" t="s">
        <v>35</v>
      </c>
      <c r="N181">
        <v>2</v>
      </c>
      <c r="O181">
        <v>3</v>
      </c>
      <c r="P181">
        <v>3</v>
      </c>
      <c r="Q181">
        <v>4</v>
      </c>
      <c r="R181" t="s">
        <v>51</v>
      </c>
      <c r="S181">
        <v>5</v>
      </c>
      <c r="T181">
        <v>6</v>
      </c>
      <c r="U181" t="s">
        <v>45</v>
      </c>
      <c r="V181" t="s">
        <v>130</v>
      </c>
      <c r="W181" s="2">
        <v>46318.470138888886</v>
      </c>
      <c r="X181" t="s">
        <v>39</v>
      </c>
    </row>
    <row r="182" spans="1:24" x14ac:dyDescent="0.25">
      <c r="A182" t="s">
        <v>294</v>
      </c>
      <c r="B182" t="s">
        <v>282</v>
      </c>
      <c r="C182" t="s">
        <v>255</v>
      </c>
      <c r="D182" s="1">
        <v>46318</v>
      </c>
      <c r="E182" t="s">
        <v>102</v>
      </c>
      <c r="F182" t="s">
        <v>103</v>
      </c>
      <c r="G182" t="s">
        <v>110</v>
      </c>
      <c r="H182" t="s">
        <v>105</v>
      </c>
      <c r="I182" t="s">
        <v>31</v>
      </c>
      <c r="J182" t="s">
        <v>98</v>
      </c>
      <c r="K182" t="s">
        <v>55</v>
      </c>
      <c r="L182" t="s">
        <v>67</v>
      </c>
      <c r="M182" t="s">
        <v>45</v>
      </c>
      <c r="N182">
        <v>3</v>
      </c>
      <c r="O182">
        <v>3</v>
      </c>
      <c r="P182">
        <v>3</v>
      </c>
      <c r="Q182">
        <v>3</v>
      </c>
      <c r="R182" t="s">
        <v>51</v>
      </c>
      <c r="S182">
        <v>4</v>
      </c>
      <c r="T182">
        <v>5</v>
      </c>
      <c r="U182" t="s">
        <v>45</v>
      </c>
      <c r="V182" t="s">
        <v>130</v>
      </c>
      <c r="W182" s="2">
        <v>46318.665277777778</v>
      </c>
      <c r="X18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FEAB-506E-4DA0-A7DA-225B7BC162F4}">
  <dimension ref="A1:X182"/>
  <sheetViews>
    <sheetView workbookViewId="0">
      <pane ySplit="1" topLeftCell="A2" activePane="bottomLeft" state="frozen"/>
      <selection activeCell="O1" sqref="O1"/>
      <selection pane="bottomLeft" activeCell="W16" sqref="W16"/>
    </sheetView>
  </sheetViews>
  <sheetFormatPr defaultRowHeight="15" x14ac:dyDescent="0.25"/>
  <cols>
    <col min="1" max="1" width="14.28515625" bestFit="1" customWidth="1"/>
    <col min="2" max="2" width="12.42578125" bestFit="1" customWidth="1"/>
    <col min="3" max="3" width="31.42578125" customWidth="1"/>
    <col min="4" max="4" width="14.7109375" bestFit="1" customWidth="1"/>
    <col min="5" max="5" width="9.5703125" bestFit="1" customWidth="1"/>
    <col min="6" max="6" width="12.140625" bestFit="1" customWidth="1"/>
    <col min="7" max="7" width="12" bestFit="1" customWidth="1"/>
    <col min="8" max="8" width="21.85546875" customWidth="1"/>
    <col min="9" max="9" width="23.85546875" customWidth="1"/>
    <col min="10" max="10" width="21" customWidth="1"/>
    <col min="11" max="11" width="20.5703125" bestFit="1" customWidth="1"/>
    <col min="12" max="12" width="17.85546875" bestFit="1" customWidth="1"/>
    <col min="13" max="13" width="22.28515625" bestFit="1" customWidth="1"/>
    <col min="14" max="17" width="20" customWidth="1"/>
    <col min="18" max="18" width="8.85546875" bestFit="1" customWidth="1"/>
    <col min="19" max="21" width="20" customWidth="1"/>
    <col min="22" max="22" width="43.85546875" customWidth="1"/>
    <col min="23" max="23" width="22.85546875" customWidth="1"/>
    <col min="24" max="24" width="23.85546875" customWidth="1"/>
  </cols>
  <sheetData>
    <row r="1" spans="1:24" ht="33.950000000000003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</row>
    <row r="2" spans="1:24" x14ac:dyDescent="0.25">
      <c r="A2" t="s">
        <v>24</v>
      </c>
      <c r="B2" t="s">
        <v>25</v>
      </c>
      <c r="C2" t="s">
        <v>26</v>
      </c>
      <c r="D2" s="1">
        <v>46300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5</v>
      </c>
      <c r="O2">
        <v>4</v>
      </c>
      <c r="P2">
        <v>4</v>
      </c>
      <c r="Q2">
        <v>5</v>
      </c>
      <c r="R2" t="s">
        <v>36</v>
      </c>
      <c r="S2">
        <v>5</v>
      </c>
      <c r="T2">
        <v>10</v>
      </c>
      <c r="U2" t="s">
        <v>37</v>
      </c>
      <c r="V2" t="s">
        <v>38</v>
      </c>
      <c r="W2" s="2">
        <v>46300.62222222222</v>
      </c>
      <c r="X2" t="s">
        <v>39</v>
      </c>
    </row>
    <row r="3" spans="1:24" x14ac:dyDescent="0.25">
      <c r="A3" t="s">
        <v>40</v>
      </c>
      <c r="B3" t="s">
        <v>25</v>
      </c>
      <c r="C3" t="s">
        <v>26</v>
      </c>
      <c r="D3" s="1">
        <v>46300</v>
      </c>
      <c r="E3" t="s">
        <v>27</v>
      </c>
      <c r="F3" t="s">
        <v>28</v>
      </c>
      <c r="G3" t="s">
        <v>41</v>
      </c>
      <c r="H3" t="s">
        <v>30</v>
      </c>
      <c r="I3" t="s">
        <v>31</v>
      </c>
      <c r="J3" t="s">
        <v>42</v>
      </c>
      <c r="K3" t="s">
        <v>43</v>
      </c>
      <c r="L3" t="s">
        <v>44</v>
      </c>
      <c r="M3" t="s">
        <v>45</v>
      </c>
      <c r="N3">
        <v>4</v>
      </c>
      <c r="O3">
        <v>2</v>
      </c>
      <c r="P3">
        <v>3</v>
      </c>
      <c r="Q3">
        <v>3</v>
      </c>
      <c r="R3" t="s">
        <v>46</v>
      </c>
      <c r="S3">
        <v>4</v>
      </c>
      <c r="T3">
        <v>5</v>
      </c>
      <c r="U3" t="s">
        <v>37</v>
      </c>
      <c r="V3" t="s">
        <v>47</v>
      </c>
      <c r="W3" s="2">
        <v>46300.793055555558</v>
      </c>
      <c r="X3" t="s">
        <v>39</v>
      </c>
    </row>
    <row r="4" spans="1:24" x14ac:dyDescent="0.25">
      <c r="A4" t="s">
        <v>48</v>
      </c>
      <c r="B4" t="s">
        <v>25</v>
      </c>
      <c r="C4" t="s">
        <v>26</v>
      </c>
      <c r="D4" s="1">
        <v>46300</v>
      </c>
      <c r="E4" t="s">
        <v>27</v>
      </c>
      <c r="F4" t="s">
        <v>28</v>
      </c>
      <c r="G4" t="s">
        <v>49</v>
      </c>
      <c r="H4" t="s">
        <v>30</v>
      </c>
      <c r="I4" t="s">
        <v>31</v>
      </c>
      <c r="J4" t="s">
        <v>50</v>
      </c>
      <c r="K4" t="s">
        <v>43</v>
      </c>
      <c r="L4" t="s">
        <v>34</v>
      </c>
      <c r="M4" t="s">
        <v>45</v>
      </c>
      <c r="N4">
        <v>5</v>
      </c>
      <c r="O4">
        <v>5</v>
      </c>
      <c r="P4">
        <v>5</v>
      </c>
      <c r="Q4">
        <v>5</v>
      </c>
      <c r="R4" t="s">
        <v>51</v>
      </c>
      <c r="S4">
        <v>5</v>
      </c>
      <c r="T4">
        <v>10</v>
      </c>
      <c r="U4" t="s">
        <v>35</v>
      </c>
      <c r="V4" t="s">
        <v>52</v>
      </c>
      <c r="W4" s="2">
        <v>46300.67291666667</v>
      </c>
      <c r="X4" t="s">
        <v>39</v>
      </c>
    </row>
    <row r="5" spans="1:24" x14ac:dyDescent="0.25">
      <c r="A5" t="s">
        <v>53</v>
      </c>
      <c r="B5" t="s">
        <v>25</v>
      </c>
      <c r="C5" t="s">
        <v>26</v>
      </c>
      <c r="D5" s="1">
        <v>46300</v>
      </c>
      <c r="E5" t="s">
        <v>27</v>
      </c>
      <c r="F5" t="s">
        <v>28</v>
      </c>
      <c r="G5" t="s">
        <v>54</v>
      </c>
      <c r="H5" t="s">
        <v>30</v>
      </c>
      <c r="I5" t="s">
        <v>31</v>
      </c>
      <c r="J5" t="s">
        <v>42</v>
      </c>
      <c r="K5" t="s">
        <v>55</v>
      </c>
      <c r="L5" t="s">
        <v>34</v>
      </c>
      <c r="M5" t="s">
        <v>45</v>
      </c>
      <c r="N5">
        <v>1</v>
      </c>
      <c r="O5">
        <v>3</v>
      </c>
      <c r="P5">
        <v>2</v>
      </c>
      <c r="Q5">
        <v>3</v>
      </c>
      <c r="R5" t="s">
        <v>36</v>
      </c>
      <c r="S5">
        <v>1</v>
      </c>
      <c r="T5">
        <v>3</v>
      </c>
      <c r="U5" t="s">
        <v>45</v>
      </c>
      <c r="V5" t="s">
        <v>56</v>
      </c>
      <c r="W5" s="2">
        <v>46301.456250000003</v>
      </c>
      <c r="X5" t="s">
        <v>39</v>
      </c>
    </row>
    <row r="6" spans="1:24" x14ac:dyDescent="0.25">
      <c r="A6" t="s">
        <v>57</v>
      </c>
      <c r="B6" t="s">
        <v>25</v>
      </c>
      <c r="C6" t="s">
        <v>26</v>
      </c>
      <c r="D6" s="1">
        <v>46300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58</v>
      </c>
      <c r="M6" t="s">
        <v>35</v>
      </c>
      <c r="N6">
        <v>3</v>
      </c>
      <c r="O6">
        <v>5</v>
      </c>
      <c r="P6">
        <v>3</v>
      </c>
      <c r="Q6">
        <v>4</v>
      </c>
      <c r="R6" t="s">
        <v>51</v>
      </c>
      <c r="S6">
        <v>5</v>
      </c>
      <c r="T6">
        <v>7</v>
      </c>
      <c r="U6" t="s">
        <v>35</v>
      </c>
      <c r="V6" t="s">
        <v>59</v>
      </c>
      <c r="W6" s="2">
        <v>46300.758333333331</v>
      </c>
      <c r="X6" t="s">
        <v>39</v>
      </c>
    </row>
    <row r="7" spans="1:24" x14ac:dyDescent="0.25">
      <c r="A7" t="s">
        <v>60</v>
      </c>
      <c r="B7" t="s">
        <v>25</v>
      </c>
      <c r="C7" t="s">
        <v>26</v>
      </c>
      <c r="D7" s="1">
        <v>46300</v>
      </c>
      <c r="E7" t="s">
        <v>27</v>
      </c>
      <c r="F7" t="s">
        <v>28</v>
      </c>
      <c r="G7" t="s">
        <v>41</v>
      </c>
      <c r="H7" t="s">
        <v>30</v>
      </c>
      <c r="I7" t="s">
        <v>31</v>
      </c>
      <c r="J7" t="s">
        <v>61</v>
      </c>
      <c r="K7" t="s">
        <v>43</v>
      </c>
      <c r="L7" t="s">
        <v>34</v>
      </c>
      <c r="M7" t="s">
        <v>45</v>
      </c>
      <c r="N7">
        <v>3</v>
      </c>
      <c r="O7">
        <v>4</v>
      </c>
      <c r="P7">
        <v>4</v>
      </c>
      <c r="Q7">
        <v>4</v>
      </c>
      <c r="R7" t="s">
        <v>51</v>
      </c>
      <c r="S7">
        <v>4</v>
      </c>
      <c r="T7">
        <v>8</v>
      </c>
      <c r="U7" t="s">
        <v>37</v>
      </c>
      <c r="V7" t="s">
        <v>62</v>
      </c>
      <c r="W7" s="2">
        <v>46301.46875</v>
      </c>
      <c r="X7" t="s">
        <v>39</v>
      </c>
    </row>
    <row r="8" spans="1:24" x14ac:dyDescent="0.25">
      <c r="A8" t="s">
        <v>63</v>
      </c>
      <c r="B8" t="s">
        <v>25</v>
      </c>
      <c r="C8" t="s">
        <v>26</v>
      </c>
      <c r="D8" s="1">
        <v>46300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64</v>
      </c>
      <c r="K8" t="s">
        <v>65</v>
      </c>
      <c r="L8" t="s">
        <v>44</v>
      </c>
      <c r="M8" t="s">
        <v>45</v>
      </c>
      <c r="N8">
        <v>3</v>
      </c>
      <c r="O8">
        <v>4</v>
      </c>
      <c r="P8">
        <v>4</v>
      </c>
      <c r="Q8">
        <v>4</v>
      </c>
      <c r="R8" t="s">
        <v>51</v>
      </c>
      <c r="S8">
        <v>4</v>
      </c>
      <c r="T8">
        <v>8</v>
      </c>
      <c r="U8" t="s">
        <v>45</v>
      </c>
      <c r="W8" s="2">
        <v>46300.490277777775</v>
      </c>
      <c r="X8" t="s">
        <v>39</v>
      </c>
    </row>
    <row r="9" spans="1:24" x14ac:dyDescent="0.25">
      <c r="A9" t="s">
        <v>66</v>
      </c>
      <c r="B9" t="s">
        <v>25</v>
      </c>
      <c r="C9" t="s">
        <v>26</v>
      </c>
      <c r="D9" s="1">
        <v>46300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61</v>
      </c>
      <c r="K9" t="s">
        <v>65</v>
      </c>
      <c r="L9" t="s">
        <v>67</v>
      </c>
      <c r="M9" t="s">
        <v>45</v>
      </c>
      <c r="N9">
        <v>5</v>
      </c>
      <c r="O9">
        <v>5</v>
      </c>
      <c r="P9">
        <v>5</v>
      </c>
      <c r="Q9">
        <v>5</v>
      </c>
      <c r="R9" t="s">
        <v>51</v>
      </c>
      <c r="S9">
        <v>5</v>
      </c>
      <c r="T9">
        <v>10</v>
      </c>
      <c r="U9" t="s">
        <v>45</v>
      </c>
      <c r="V9" t="s">
        <v>62</v>
      </c>
      <c r="W9" s="2">
        <v>46300.67291666667</v>
      </c>
      <c r="X9" t="s">
        <v>39</v>
      </c>
    </row>
    <row r="10" spans="1:24" x14ac:dyDescent="0.25">
      <c r="A10" t="s">
        <v>68</v>
      </c>
      <c r="B10" t="s">
        <v>25</v>
      </c>
      <c r="C10" t="s">
        <v>26</v>
      </c>
      <c r="D10" s="1">
        <v>46300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42</v>
      </c>
      <c r="K10" t="s">
        <v>55</v>
      </c>
      <c r="L10" t="s">
        <v>34</v>
      </c>
      <c r="M10" t="s">
        <v>45</v>
      </c>
      <c r="N10">
        <v>2</v>
      </c>
      <c r="O10">
        <v>3</v>
      </c>
      <c r="P10">
        <v>3</v>
      </c>
      <c r="Q10">
        <v>3</v>
      </c>
      <c r="R10" t="s">
        <v>51</v>
      </c>
      <c r="S10">
        <v>4</v>
      </c>
      <c r="T10">
        <v>6</v>
      </c>
      <c r="U10" t="s">
        <v>45</v>
      </c>
      <c r="V10" t="s">
        <v>69</v>
      </c>
      <c r="W10" s="2">
        <v>46300.527083333334</v>
      </c>
      <c r="X10" t="s">
        <v>39</v>
      </c>
    </row>
    <row r="11" spans="1:24" x14ac:dyDescent="0.25">
      <c r="A11" t="s">
        <v>70</v>
      </c>
      <c r="B11" t="s">
        <v>25</v>
      </c>
      <c r="C11" t="s">
        <v>26</v>
      </c>
      <c r="D11" s="1">
        <v>46300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71</v>
      </c>
      <c r="K11" t="s">
        <v>55</v>
      </c>
      <c r="L11" t="s">
        <v>72</v>
      </c>
      <c r="M11" t="s">
        <v>45</v>
      </c>
      <c r="N11">
        <v>3</v>
      </c>
      <c r="O11">
        <v>3</v>
      </c>
      <c r="P11">
        <v>3</v>
      </c>
      <c r="Q11">
        <v>2</v>
      </c>
      <c r="R11" t="s">
        <v>51</v>
      </c>
      <c r="S11">
        <v>4</v>
      </c>
      <c r="T11">
        <v>4</v>
      </c>
      <c r="U11" t="s">
        <v>35</v>
      </c>
      <c r="W11" s="2">
        <v>46300.785416666666</v>
      </c>
      <c r="X11" t="s">
        <v>39</v>
      </c>
    </row>
    <row r="12" spans="1:24" x14ac:dyDescent="0.25">
      <c r="A12" t="s">
        <v>73</v>
      </c>
      <c r="B12" t="s">
        <v>25</v>
      </c>
      <c r="C12" t="s">
        <v>26</v>
      </c>
      <c r="D12" s="1">
        <v>46300</v>
      </c>
      <c r="E12" t="s">
        <v>27</v>
      </c>
      <c r="F12" t="s">
        <v>28</v>
      </c>
      <c r="G12" t="s">
        <v>54</v>
      </c>
      <c r="H12" t="s">
        <v>30</v>
      </c>
      <c r="I12" t="s">
        <v>31</v>
      </c>
      <c r="J12" t="s">
        <v>71</v>
      </c>
      <c r="K12" t="s">
        <v>65</v>
      </c>
      <c r="L12" t="s">
        <v>34</v>
      </c>
      <c r="M12" t="s">
        <v>45</v>
      </c>
      <c r="N12">
        <v>5</v>
      </c>
      <c r="O12">
        <v>5</v>
      </c>
      <c r="P12">
        <v>5</v>
      </c>
      <c r="Q12">
        <v>5</v>
      </c>
      <c r="R12" t="s">
        <v>51</v>
      </c>
      <c r="S12">
        <v>5</v>
      </c>
      <c r="T12">
        <v>10</v>
      </c>
      <c r="U12" t="s">
        <v>45</v>
      </c>
      <c r="V12" t="s">
        <v>74</v>
      </c>
      <c r="W12" s="2">
        <v>46300.696527777778</v>
      </c>
      <c r="X12" t="s">
        <v>39</v>
      </c>
    </row>
    <row r="13" spans="1:24" x14ac:dyDescent="0.25">
      <c r="A13" t="s">
        <v>75</v>
      </c>
      <c r="B13" t="s">
        <v>76</v>
      </c>
      <c r="C13" t="s">
        <v>26</v>
      </c>
      <c r="D13" s="1">
        <v>46301</v>
      </c>
      <c r="E13" t="s">
        <v>77</v>
      </c>
      <c r="F13" t="s">
        <v>78</v>
      </c>
      <c r="G13" t="s">
        <v>79</v>
      </c>
      <c r="H13" t="s">
        <v>80</v>
      </c>
      <c r="I13" t="s">
        <v>31</v>
      </c>
      <c r="J13" t="s">
        <v>81</v>
      </c>
      <c r="K13" t="s">
        <v>65</v>
      </c>
      <c r="L13" t="s">
        <v>34</v>
      </c>
      <c r="M13" t="s">
        <v>45</v>
      </c>
      <c r="N13">
        <v>5</v>
      </c>
      <c r="O13">
        <v>4</v>
      </c>
      <c r="P13">
        <v>3</v>
      </c>
      <c r="Q13">
        <v>4</v>
      </c>
      <c r="R13" t="s">
        <v>51</v>
      </c>
      <c r="S13">
        <v>5</v>
      </c>
      <c r="T13">
        <v>6</v>
      </c>
      <c r="U13" t="s">
        <v>45</v>
      </c>
      <c r="W13" s="2">
        <v>46303.399305555555</v>
      </c>
      <c r="X13" t="s">
        <v>39</v>
      </c>
    </row>
    <row r="14" spans="1:24" x14ac:dyDescent="0.25">
      <c r="A14" t="s">
        <v>82</v>
      </c>
      <c r="B14" t="s">
        <v>76</v>
      </c>
      <c r="C14" t="s">
        <v>26</v>
      </c>
      <c r="D14" s="1">
        <v>46301</v>
      </c>
      <c r="E14" t="s">
        <v>77</v>
      </c>
      <c r="F14" t="s">
        <v>78</v>
      </c>
      <c r="G14" t="s">
        <v>83</v>
      </c>
      <c r="H14" t="s">
        <v>80</v>
      </c>
      <c r="I14" t="s">
        <v>31</v>
      </c>
      <c r="J14" t="s">
        <v>81</v>
      </c>
      <c r="K14" t="s">
        <v>65</v>
      </c>
      <c r="L14" t="s">
        <v>34</v>
      </c>
      <c r="M14" t="s">
        <v>45</v>
      </c>
      <c r="N14">
        <v>5</v>
      </c>
      <c r="O14">
        <v>4</v>
      </c>
      <c r="P14">
        <v>5</v>
      </c>
      <c r="Q14">
        <v>4</v>
      </c>
      <c r="R14" t="s">
        <v>51</v>
      </c>
      <c r="S14">
        <v>4</v>
      </c>
      <c r="T14">
        <v>8</v>
      </c>
      <c r="U14" t="s">
        <v>45</v>
      </c>
      <c r="V14" t="s">
        <v>62</v>
      </c>
      <c r="W14" s="2">
        <v>46301.530555555553</v>
      </c>
      <c r="X14" t="s">
        <v>39</v>
      </c>
    </row>
    <row r="15" spans="1:24" x14ac:dyDescent="0.25">
      <c r="A15" t="s">
        <v>84</v>
      </c>
      <c r="B15" t="s">
        <v>76</v>
      </c>
      <c r="C15" t="s">
        <v>26</v>
      </c>
      <c r="D15" s="1">
        <v>46301</v>
      </c>
      <c r="E15" t="s">
        <v>77</v>
      </c>
      <c r="F15" t="s">
        <v>78</v>
      </c>
      <c r="G15" t="s">
        <v>85</v>
      </c>
      <c r="H15" t="s">
        <v>80</v>
      </c>
      <c r="I15" t="s">
        <v>31</v>
      </c>
      <c r="J15" t="s">
        <v>86</v>
      </c>
      <c r="K15" t="s">
        <v>43</v>
      </c>
      <c r="L15" t="s">
        <v>72</v>
      </c>
      <c r="M15" t="s">
        <v>45</v>
      </c>
      <c r="N15">
        <v>2</v>
      </c>
      <c r="O15">
        <v>2</v>
      </c>
      <c r="P15">
        <v>2</v>
      </c>
      <c r="Q15">
        <v>1</v>
      </c>
      <c r="R15" t="s">
        <v>46</v>
      </c>
      <c r="S15">
        <v>2</v>
      </c>
      <c r="T15">
        <v>4</v>
      </c>
      <c r="U15" t="s">
        <v>45</v>
      </c>
      <c r="W15" s="2">
        <v>46302.520138888889</v>
      </c>
      <c r="X15" t="s">
        <v>39</v>
      </c>
    </row>
    <row r="16" spans="1:24" x14ac:dyDescent="0.25">
      <c r="A16" t="s">
        <v>87</v>
      </c>
      <c r="B16" t="s">
        <v>76</v>
      </c>
      <c r="C16" t="s">
        <v>26</v>
      </c>
      <c r="D16" s="1">
        <v>46301</v>
      </c>
      <c r="E16" t="s">
        <v>77</v>
      </c>
      <c r="F16" t="s">
        <v>78</v>
      </c>
      <c r="G16" t="s">
        <v>83</v>
      </c>
      <c r="H16" t="s">
        <v>80</v>
      </c>
      <c r="I16" t="s">
        <v>31</v>
      </c>
      <c r="J16" t="s">
        <v>61</v>
      </c>
      <c r="K16" t="s">
        <v>65</v>
      </c>
      <c r="L16" t="s">
        <v>44</v>
      </c>
      <c r="M16" t="s">
        <v>45</v>
      </c>
      <c r="N16">
        <v>5</v>
      </c>
      <c r="O16">
        <v>5</v>
      </c>
      <c r="P16">
        <v>5</v>
      </c>
      <c r="Q16">
        <v>5</v>
      </c>
      <c r="R16" t="s">
        <v>51</v>
      </c>
      <c r="S16">
        <v>5</v>
      </c>
      <c r="T16">
        <v>8</v>
      </c>
      <c r="U16" t="s">
        <v>37</v>
      </c>
      <c r="W16" s="2">
        <v>46301.583333333336</v>
      </c>
      <c r="X16" t="s">
        <v>39</v>
      </c>
    </row>
    <row r="17" spans="1:24" x14ac:dyDescent="0.25">
      <c r="A17" t="s">
        <v>88</v>
      </c>
      <c r="B17" t="s">
        <v>76</v>
      </c>
      <c r="C17" t="s">
        <v>26</v>
      </c>
      <c r="D17" s="1">
        <v>46301</v>
      </c>
      <c r="E17" t="s">
        <v>77</v>
      </c>
      <c r="F17" t="s">
        <v>78</v>
      </c>
      <c r="G17" t="s">
        <v>85</v>
      </c>
      <c r="H17" t="s">
        <v>80</v>
      </c>
      <c r="I17" t="s">
        <v>31</v>
      </c>
      <c r="J17" t="s">
        <v>81</v>
      </c>
      <c r="K17" t="s">
        <v>43</v>
      </c>
      <c r="L17" t="s">
        <v>34</v>
      </c>
      <c r="M17" t="s">
        <v>35</v>
      </c>
      <c r="N17">
        <v>3</v>
      </c>
      <c r="O17">
        <v>2</v>
      </c>
      <c r="P17">
        <v>3</v>
      </c>
      <c r="Q17">
        <v>2</v>
      </c>
      <c r="R17" t="s">
        <v>46</v>
      </c>
      <c r="S17">
        <v>4</v>
      </c>
      <c r="T17">
        <v>5</v>
      </c>
      <c r="U17" t="s">
        <v>45</v>
      </c>
      <c r="V17" t="s">
        <v>69</v>
      </c>
      <c r="W17" s="2">
        <v>46301.699305555558</v>
      </c>
      <c r="X17" t="s">
        <v>39</v>
      </c>
    </row>
    <row r="18" spans="1:24" x14ac:dyDescent="0.25">
      <c r="A18" t="s">
        <v>89</v>
      </c>
      <c r="B18" t="s">
        <v>76</v>
      </c>
      <c r="C18" t="s">
        <v>26</v>
      </c>
      <c r="D18" s="1">
        <v>46301</v>
      </c>
      <c r="E18" t="s">
        <v>77</v>
      </c>
      <c r="F18" t="s">
        <v>78</v>
      </c>
      <c r="G18" t="s">
        <v>79</v>
      </c>
      <c r="H18" t="s">
        <v>80</v>
      </c>
      <c r="I18" t="s">
        <v>31</v>
      </c>
      <c r="J18" t="s">
        <v>50</v>
      </c>
      <c r="K18" t="s">
        <v>65</v>
      </c>
      <c r="L18" t="s">
        <v>72</v>
      </c>
      <c r="M18" t="s">
        <v>35</v>
      </c>
      <c r="N18">
        <v>4</v>
      </c>
      <c r="O18">
        <v>3</v>
      </c>
      <c r="P18">
        <v>3</v>
      </c>
      <c r="Q18">
        <v>4</v>
      </c>
      <c r="R18" t="s">
        <v>51</v>
      </c>
      <c r="S18">
        <v>5</v>
      </c>
      <c r="T18">
        <v>6</v>
      </c>
      <c r="U18" t="s">
        <v>35</v>
      </c>
      <c r="V18" t="s">
        <v>74</v>
      </c>
      <c r="W18" s="2">
        <v>46302.561111111114</v>
      </c>
      <c r="X18" t="s">
        <v>39</v>
      </c>
    </row>
    <row r="19" spans="1:24" x14ac:dyDescent="0.25">
      <c r="A19" t="s">
        <v>90</v>
      </c>
      <c r="B19" t="s">
        <v>76</v>
      </c>
      <c r="C19" t="s">
        <v>26</v>
      </c>
      <c r="D19" s="1">
        <v>46301</v>
      </c>
      <c r="E19" t="s">
        <v>77</v>
      </c>
      <c r="F19" t="s">
        <v>78</v>
      </c>
      <c r="G19" t="s">
        <v>83</v>
      </c>
      <c r="H19" t="s">
        <v>80</v>
      </c>
      <c r="I19" t="s">
        <v>31</v>
      </c>
      <c r="J19" t="s">
        <v>86</v>
      </c>
      <c r="K19" t="s">
        <v>55</v>
      </c>
      <c r="L19" t="s">
        <v>72</v>
      </c>
      <c r="M19" t="s">
        <v>45</v>
      </c>
      <c r="N19">
        <v>4</v>
      </c>
      <c r="O19">
        <v>5</v>
      </c>
      <c r="P19">
        <v>3</v>
      </c>
      <c r="Q19">
        <v>4</v>
      </c>
      <c r="R19" t="s">
        <v>51</v>
      </c>
      <c r="S19">
        <v>5</v>
      </c>
      <c r="T19">
        <v>7</v>
      </c>
      <c r="U19" t="s">
        <v>45</v>
      </c>
      <c r="V19" t="s">
        <v>91</v>
      </c>
      <c r="W19" s="2">
        <v>46301.581250000003</v>
      </c>
      <c r="X19" t="s">
        <v>39</v>
      </c>
    </row>
    <row r="20" spans="1:24" x14ac:dyDescent="0.25">
      <c r="A20" t="s">
        <v>92</v>
      </c>
      <c r="B20" t="s">
        <v>76</v>
      </c>
      <c r="C20" t="s">
        <v>26</v>
      </c>
      <c r="D20" s="1">
        <v>46301</v>
      </c>
      <c r="E20" t="s">
        <v>77</v>
      </c>
      <c r="F20" t="s">
        <v>78</v>
      </c>
      <c r="G20" t="s">
        <v>79</v>
      </c>
      <c r="H20" t="s">
        <v>80</v>
      </c>
      <c r="I20" t="s">
        <v>31</v>
      </c>
      <c r="J20" t="s">
        <v>50</v>
      </c>
      <c r="K20" t="s">
        <v>55</v>
      </c>
      <c r="L20" t="s">
        <v>44</v>
      </c>
      <c r="M20" t="s">
        <v>45</v>
      </c>
      <c r="N20">
        <v>5</v>
      </c>
      <c r="O20">
        <v>5</v>
      </c>
      <c r="P20">
        <v>5</v>
      </c>
      <c r="Q20">
        <v>5</v>
      </c>
      <c r="R20" t="s">
        <v>51</v>
      </c>
      <c r="S20">
        <v>4</v>
      </c>
      <c r="T20">
        <v>10</v>
      </c>
      <c r="U20" t="s">
        <v>35</v>
      </c>
      <c r="V20" t="s">
        <v>38</v>
      </c>
      <c r="W20" s="2">
        <v>46301.43472222222</v>
      </c>
      <c r="X20" t="s">
        <v>39</v>
      </c>
    </row>
    <row r="21" spans="1:24" x14ac:dyDescent="0.25">
      <c r="A21" t="s">
        <v>93</v>
      </c>
      <c r="B21" t="s">
        <v>76</v>
      </c>
      <c r="C21" t="s">
        <v>26</v>
      </c>
      <c r="D21" s="1">
        <v>46301</v>
      </c>
      <c r="E21" t="s">
        <v>77</v>
      </c>
      <c r="F21" t="s">
        <v>78</v>
      </c>
      <c r="G21" t="s">
        <v>83</v>
      </c>
      <c r="H21" t="s">
        <v>80</v>
      </c>
      <c r="I21" t="s">
        <v>31</v>
      </c>
      <c r="J21" t="s">
        <v>94</v>
      </c>
      <c r="K21" t="s">
        <v>55</v>
      </c>
      <c r="L21" t="s">
        <v>72</v>
      </c>
      <c r="M21" t="s">
        <v>45</v>
      </c>
      <c r="N21">
        <v>4</v>
      </c>
      <c r="O21">
        <v>5</v>
      </c>
      <c r="P21">
        <v>5</v>
      </c>
      <c r="Q21">
        <v>5</v>
      </c>
      <c r="R21" t="s">
        <v>51</v>
      </c>
      <c r="S21">
        <v>5</v>
      </c>
      <c r="T21">
        <v>8</v>
      </c>
      <c r="U21" t="s">
        <v>45</v>
      </c>
      <c r="V21" t="s">
        <v>95</v>
      </c>
      <c r="W21" s="2">
        <v>46301.539583333331</v>
      </c>
      <c r="X21" t="s">
        <v>39</v>
      </c>
    </row>
    <row r="22" spans="1:24" x14ac:dyDescent="0.25">
      <c r="A22" t="s">
        <v>96</v>
      </c>
      <c r="B22" t="s">
        <v>76</v>
      </c>
      <c r="C22" t="s">
        <v>26</v>
      </c>
      <c r="D22" s="1">
        <v>46301</v>
      </c>
      <c r="E22" t="s">
        <v>77</v>
      </c>
      <c r="F22" t="s">
        <v>78</v>
      </c>
      <c r="G22" t="s">
        <v>85</v>
      </c>
      <c r="H22" t="s">
        <v>80</v>
      </c>
      <c r="I22" t="s">
        <v>31</v>
      </c>
      <c r="J22" t="s">
        <v>64</v>
      </c>
      <c r="K22" t="s">
        <v>65</v>
      </c>
      <c r="L22" t="s">
        <v>67</v>
      </c>
      <c r="M22" t="s">
        <v>45</v>
      </c>
      <c r="N22">
        <v>4</v>
      </c>
      <c r="O22">
        <v>5</v>
      </c>
      <c r="P22">
        <v>4</v>
      </c>
      <c r="Q22">
        <v>5</v>
      </c>
      <c r="R22" t="s">
        <v>51</v>
      </c>
      <c r="S22">
        <v>5</v>
      </c>
      <c r="T22">
        <v>8</v>
      </c>
      <c r="U22" t="s">
        <v>45</v>
      </c>
      <c r="V22" t="s">
        <v>95</v>
      </c>
      <c r="W22" s="2">
        <v>46302.786111111112</v>
      </c>
      <c r="X22" t="s">
        <v>39</v>
      </c>
    </row>
    <row r="23" spans="1:24" x14ac:dyDescent="0.25">
      <c r="A23" t="s">
        <v>97</v>
      </c>
      <c r="B23" t="s">
        <v>76</v>
      </c>
      <c r="C23" t="s">
        <v>26</v>
      </c>
      <c r="D23" s="1">
        <v>46301</v>
      </c>
      <c r="E23" t="s">
        <v>77</v>
      </c>
      <c r="F23" t="s">
        <v>78</v>
      </c>
      <c r="G23" t="s">
        <v>83</v>
      </c>
      <c r="H23" t="s">
        <v>80</v>
      </c>
      <c r="I23" t="s">
        <v>31</v>
      </c>
      <c r="J23" t="s">
        <v>98</v>
      </c>
      <c r="K23" t="s">
        <v>33</v>
      </c>
      <c r="L23" t="s">
        <v>67</v>
      </c>
      <c r="M23" t="s">
        <v>35</v>
      </c>
      <c r="N23">
        <v>5</v>
      </c>
      <c r="P23">
        <v>5</v>
      </c>
      <c r="Q23">
        <v>5</v>
      </c>
      <c r="R23" t="s">
        <v>51</v>
      </c>
      <c r="S23">
        <v>5</v>
      </c>
      <c r="T23">
        <v>10</v>
      </c>
      <c r="U23" t="s">
        <v>37</v>
      </c>
      <c r="V23" t="s">
        <v>95</v>
      </c>
      <c r="W23" s="2">
        <v>46302.5625</v>
      </c>
      <c r="X23" t="s">
        <v>39</v>
      </c>
    </row>
    <row r="24" spans="1:24" x14ac:dyDescent="0.25">
      <c r="A24" t="s">
        <v>99</v>
      </c>
      <c r="B24" t="s">
        <v>76</v>
      </c>
      <c r="C24" t="s">
        <v>26</v>
      </c>
      <c r="D24" s="1">
        <v>46301</v>
      </c>
      <c r="E24" t="s">
        <v>77</v>
      </c>
      <c r="F24" t="s">
        <v>78</v>
      </c>
      <c r="G24" t="s">
        <v>83</v>
      </c>
      <c r="H24" t="s">
        <v>80</v>
      </c>
      <c r="I24" t="s">
        <v>31</v>
      </c>
      <c r="J24" t="s">
        <v>50</v>
      </c>
      <c r="K24" t="s">
        <v>33</v>
      </c>
      <c r="L24" t="s">
        <v>44</v>
      </c>
      <c r="M24" t="s">
        <v>35</v>
      </c>
      <c r="N24">
        <v>5</v>
      </c>
      <c r="O24">
        <v>5</v>
      </c>
      <c r="P24">
        <v>5</v>
      </c>
      <c r="Q24">
        <v>5</v>
      </c>
      <c r="R24" t="s">
        <v>51</v>
      </c>
      <c r="S24">
        <v>4</v>
      </c>
      <c r="T24">
        <v>10</v>
      </c>
      <c r="U24" t="s">
        <v>35</v>
      </c>
      <c r="W24" s="2">
        <v>46302.490972222222</v>
      </c>
      <c r="X24" t="s">
        <v>39</v>
      </c>
    </row>
    <row r="25" spans="1:24" x14ac:dyDescent="0.25">
      <c r="A25" t="s">
        <v>100</v>
      </c>
      <c r="B25" t="s">
        <v>101</v>
      </c>
      <c r="C25" t="s">
        <v>26</v>
      </c>
      <c r="D25" s="1">
        <v>46302</v>
      </c>
      <c r="E25" t="s">
        <v>102</v>
      </c>
      <c r="F25" t="s">
        <v>103</v>
      </c>
      <c r="G25" t="s">
        <v>104</v>
      </c>
      <c r="H25" t="s">
        <v>105</v>
      </c>
      <c r="I25" t="s">
        <v>31</v>
      </c>
      <c r="J25" t="s">
        <v>98</v>
      </c>
      <c r="K25" t="s">
        <v>43</v>
      </c>
      <c r="L25" t="s">
        <v>58</v>
      </c>
      <c r="M25" t="s">
        <v>45</v>
      </c>
      <c r="N25">
        <v>3</v>
      </c>
      <c r="O25">
        <v>4</v>
      </c>
      <c r="P25">
        <v>4</v>
      </c>
      <c r="Q25">
        <v>4</v>
      </c>
      <c r="R25" t="s">
        <v>36</v>
      </c>
      <c r="S25">
        <v>4</v>
      </c>
      <c r="T25">
        <v>7</v>
      </c>
      <c r="U25" t="s">
        <v>35</v>
      </c>
      <c r="W25" s="2">
        <v>46303.306944444441</v>
      </c>
      <c r="X25" t="s">
        <v>39</v>
      </c>
    </row>
    <row r="26" spans="1:24" x14ac:dyDescent="0.25">
      <c r="A26" t="s">
        <v>106</v>
      </c>
      <c r="B26" t="s">
        <v>101</v>
      </c>
      <c r="C26" t="s">
        <v>26</v>
      </c>
      <c r="D26" s="1">
        <v>46302</v>
      </c>
      <c r="E26" t="s">
        <v>102</v>
      </c>
      <c r="F26" t="s">
        <v>103</v>
      </c>
      <c r="G26" t="s">
        <v>104</v>
      </c>
      <c r="H26" t="s">
        <v>105</v>
      </c>
      <c r="I26" t="s">
        <v>31</v>
      </c>
      <c r="J26" t="s">
        <v>107</v>
      </c>
      <c r="K26" t="s">
        <v>33</v>
      </c>
      <c r="L26" t="s">
        <v>58</v>
      </c>
      <c r="M26" t="s">
        <v>35</v>
      </c>
      <c r="N26">
        <v>2</v>
      </c>
      <c r="O26">
        <v>3</v>
      </c>
      <c r="P26">
        <v>3</v>
      </c>
      <c r="Q26">
        <v>3</v>
      </c>
      <c r="R26" t="s">
        <v>46</v>
      </c>
      <c r="S26">
        <v>5</v>
      </c>
      <c r="T26">
        <v>4</v>
      </c>
      <c r="U26" t="s">
        <v>35</v>
      </c>
      <c r="V26" t="s">
        <v>108</v>
      </c>
      <c r="W26" s="2">
        <v>46303.645138888889</v>
      </c>
      <c r="X26" t="s">
        <v>39</v>
      </c>
    </row>
    <row r="27" spans="1:24" x14ac:dyDescent="0.25">
      <c r="A27" t="s">
        <v>109</v>
      </c>
      <c r="B27" t="s">
        <v>101</v>
      </c>
      <c r="C27" t="s">
        <v>26</v>
      </c>
      <c r="D27" s="1">
        <v>46302</v>
      </c>
      <c r="E27" t="s">
        <v>102</v>
      </c>
      <c r="F27" t="s">
        <v>103</v>
      </c>
      <c r="G27" t="s">
        <v>110</v>
      </c>
      <c r="H27" t="s">
        <v>105</v>
      </c>
      <c r="I27" t="s">
        <v>31</v>
      </c>
      <c r="J27" t="s">
        <v>32</v>
      </c>
      <c r="K27" t="s">
        <v>43</v>
      </c>
      <c r="L27" t="s">
        <v>44</v>
      </c>
      <c r="M27" t="s">
        <v>45</v>
      </c>
      <c r="N27">
        <v>3</v>
      </c>
      <c r="O27">
        <v>3</v>
      </c>
      <c r="P27">
        <v>3</v>
      </c>
      <c r="Q27">
        <v>3</v>
      </c>
      <c r="R27" t="s">
        <v>51</v>
      </c>
      <c r="S27">
        <v>4</v>
      </c>
      <c r="T27">
        <v>7</v>
      </c>
      <c r="U27" t="s">
        <v>45</v>
      </c>
      <c r="V27" t="s">
        <v>47</v>
      </c>
      <c r="W27" s="2">
        <v>46302.71597222222</v>
      </c>
      <c r="X27" t="s">
        <v>39</v>
      </c>
    </row>
    <row r="28" spans="1:24" x14ac:dyDescent="0.25">
      <c r="A28" t="s">
        <v>111</v>
      </c>
      <c r="B28" t="s">
        <v>101</v>
      </c>
      <c r="C28" t="s">
        <v>26</v>
      </c>
      <c r="D28" s="1">
        <v>46302</v>
      </c>
      <c r="E28" t="s">
        <v>102</v>
      </c>
      <c r="F28" t="s">
        <v>103</v>
      </c>
      <c r="G28" t="s">
        <v>112</v>
      </c>
      <c r="H28" t="s">
        <v>105</v>
      </c>
      <c r="I28" t="s">
        <v>31</v>
      </c>
      <c r="J28" t="s">
        <v>86</v>
      </c>
      <c r="K28" t="s">
        <v>33</v>
      </c>
      <c r="L28" t="s">
        <v>34</v>
      </c>
      <c r="M28" t="s">
        <v>45</v>
      </c>
      <c r="N28">
        <v>4</v>
      </c>
      <c r="O28">
        <v>4</v>
      </c>
      <c r="P28">
        <v>4</v>
      </c>
      <c r="Q28">
        <v>3</v>
      </c>
      <c r="R28" t="s">
        <v>51</v>
      </c>
      <c r="S28">
        <v>5</v>
      </c>
      <c r="T28">
        <v>9</v>
      </c>
      <c r="U28" t="s">
        <v>37</v>
      </c>
      <c r="V28" t="s">
        <v>74</v>
      </c>
      <c r="W28" s="2">
        <v>46303.789583333331</v>
      </c>
      <c r="X28" t="s">
        <v>39</v>
      </c>
    </row>
    <row r="29" spans="1:24" x14ac:dyDescent="0.25">
      <c r="A29" t="s">
        <v>113</v>
      </c>
      <c r="B29" t="s">
        <v>101</v>
      </c>
      <c r="C29" t="s">
        <v>26</v>
      </c>
      <c r="D29" s="1">
        <v>46302</v>
      </c>
      <c r="E29" t="s">
        <v>102</v>
      </c>
      <c r="F29" t="s">
        <v>103</v>
      </c>
      <c r="G29" t="s">
        <v>112</v>
      </c>
      <c r="H29" t="s">
        <v>105</v>
      </c>
      <c r="I29" t="s">
        <v>31</v>
      </c>
      <c r="J29" t="s">
        <v>50</v>
      </c>
      <c r="K29" t="s">
        <v>33</v>
      </c>
      <c r="L29" t="s">
        <v>44</v>
      </c>
      <c r="M29" t="s">
        <v>45</v>
      </c>
      <c r="N29">
        <v>5</v>
      </c>
      <c r="O29">
        <v>5</v>
      </c>
      <c r="P29">
        <v>4</v>
      </c>
      <c r="Q29">
        <v>5</v>
      </c>
      <c r="R29" t="s">
        <v>51</v>
      </c>
      <c r="S29">
        <v>5</v>
      </c>
      <c r="T29">
        <v>8</v>
      </c>
      <c r="U29" t="s">
        <v>45</v>
      </c>
      <c r="W29" s="2">
        <v>46304.584027777775</v>
      </c>
      <c r="X29" t="s">
        <v>39</v>
      </c>
    </row>
    <row r="30" spans="1:24" x14ac:dyDescent="0.25">
      <c r="A30" t="s">
        <v>114</v>
      </c>
      <c r="B30" t="s">
        <v>101</v>
      </c>
      <c r="C30" t="s">
        <v>26</v>
      </c>
      <c r="D30" s="1">
        <v>46302</v>
      </c>
      <c r="E30" t="s">
        <v>102</v>
      </c>
      <c r="F30" t="s">
        <v>103</v>
      </c>
      <c r="G30" t="s">
        <v>110</v>
      </c>
      <c r="H30" t="s">
        <v>105</v>
      </c>
      <c r="I30" t="s">
        <v>31</v>
      </c>
      <c r="J30" t="s">
        <v>107</v>
      </c>
      <c r="K30" t="s">
        <v>43</v>
      </c>
      <c r="L30" t="s">
        <v>44</v>
      </c>
      <c r="M30" t="s">
        <v>35</v>
      </c>
      <c r="N30">
        <v>4</v>
      </c>
      <c r="O30">
        <v>5</v>
      </c>
      <c r="P30">
        <v>4</v>
      </c>
      <c r="Q30">
        <v>4</v>
      </c>
      <c r="R30" t="s">
        <v>36</v>
      </c>
      <c r="S30">
        <v>5</v>
      </c>
      <c r="T30">
        <v>7</v>
      </c>
      <c r="U30" t="s">
        <v>37</v>
      </c>
      <c r="W30" s="2">
        <v>46302.452777777777</v>
      </c>
      <c r="X30" t="s">
        <v>39</v>
      </c>
    </row>
    <row r="31" spans="1:24" x14ac:dyDescent="0.25">
      <c r="A31" t="s">
        <v>115</v>
      </c>
      <c r="B31" t="s">
        <v>101</v>
      </c>
      <c r="C31" t="s">
        <v>26</v>
      </c>
      <c r="D31" s="1">
        <v>46302</v>
      </c>
      <c r="E31" t="s">
        <v>102</v>
      </c>
      <c r="F31" t="s">
        <v>103</v>
      </c>
      <c r="G31" t="s">
        <v>110</v>
      </c>
      <c r="H31" t="s">
        <v>105</v>
      </c>
      <c r="I31" t="s">
        <v>31</v>
      </c>
      <c r="J31" t="s">
        <v>61</v>
      </c>
      <c r="K31" t="s">
        <v>33</v>
      </c>
      <c r="L31" t="s">
        <v>44</v>
      </c>
      <c r="M31" t="s">
        <v>45</v>
      </c>
      <c r="N31">
        <v>3</v>
      </c>
      <c r="O31">
        <v>4</v>
      </c>
      <c r="P31">
        <v>4</v>
      </c>
      <c r="Q31">
        <v>3</v>
      </c>
      <c r="R31" t="s">
        <v>51</v>
      </c>
      <c r="S31">
        <v>4</v>
      </c>
      <c r="T31">
        <v>6</v>
      </c>
      <c r="U31" t="s">
        <v>45</v>
      </c>
      <c r="V31" t="s">
        <v>91</v>
      </c>
      <c r="W31" s="2">
        <v>46302.420138888891</v>
      </c>
      <c r="X31" t="s">
        <v>39</v>
      </c>
    </row>
    <row r="32" spans="1:24" x14ac:dyDescent="0.25">
      <c r="A32" t="s">
        <v>116</v>
      </c>
      <c r="B32" t="s">
        <v>101</v>
      </c>
      <c r="C32" t="s">
        <v>26</v>
      </c>
      <c r="D32" s="1">
        <v>46302</v>
      </c>
      <c r="E32" t="s">
        <v>102</v>
      </c>
      <c r="F32" t="s">
        <v>103</v>
      </c>
      <c r="G32" t="s">
        <v>110</v>
      </c>
      <c r="H32" t="s">
        <v>105</v>
      </c>
      <c r="I32" t="s">
        <v>31</v>
      </c>
      <c r="J32" t="s">
        <v>98</v>
      </c>
      <c r="K32" t="s">
        <v>33</v>
      </c>
      <c r="L32" t="s">
        <v>67</v>
      </c>
      <c r="M32" t="s">
        <v>45</v>
      </c>
      <c r="N32">
        <v>4</v>
      </c>
      <c r="O32">
        <v>5</v>
      </c>
      <c r="P32">
        <v>5</v>
      </c>
      <c r="Q32">
        <v>4</v>
      </c>
      <c r="R32" t="s">
        <v>51</v>
      </c>
      <c r="S32">
        <v>5</v>
      </c>
      <c r="T32">
        <v>8</v>
      </c>
      <c r="U32" t="s">
        <v>45</v>
      </c>
      <c r="W32" s="2">
        <v>46303.279861111114</v>
      </c>
      <c r="X32" t="s">
        <v>39</v>
      </c>
    </row>
    <row r="33" spans="1:24" x14ac:dyDescent="0.25">
      <c r="A33" t="s">
        <v>117</v>
      </c>
      <c r="B33" t="s">
        <v>101</v>
      </c>
      <c r="C33" t="s">
        <v>26</v>
      </c>
      <c r="D33" s="1">
        <v>46302</v>
      </c>
      <c r="E33" t="s">
        <v>102</v>
      </c>
      <c r="F33" t="s">
        <v>103</v>
      </c>
      <c r="G33" t="s">
        <v>104</v>
      </c>
      <c r="H33" t="s">
        <v>105</v>
      </c>
      <c r="I33" t="s">
        <v>31</v>
      </c>
      <c r="J33" t="s">
        <v>86</v>
      </c>
      <c r="K33" t="s">
        <v>65</v>
      </c>
      <c r="L33" t="s">
        <v>34</v>
      </c>
      <c r="M33" t="s">
        <v>45</v>
      </c>
      <c r="N33">
        <v>4</v>
      </c>
      <c r="O33">
        <v>4</v>
      </c>
      <c r="P33">
        <v>5</v>
      </c>
      <c r="Q33">
        <v>4</v>
      </c>
      <c r="R33" t="s">
        <v>51</v>
      </c>
      <c r="S33">
        <v>4</v>
      </c>
      <c r="T33">
        <v>8</v>
      </c>
      <c r="U33" t="s">
        <v>37</v>
      </c>
      <c r="V33" t="s">
        <v>95</v>
      </c>
      <c r="W33" s="2">
        <v>46302.531944444447</v>
      </c>
      <c r="X33" t="s">
        <v>39</v>
      </c>
    </row>
    <row r="34" spans="1:24" x14ac:dyDescent="0.25">
      <c r="A34" t="s">
        <v>118</v>
      </c>
      <c r="B34" t="s">
        <v>101</v>
      </c>
      <c r="C34" t="s">
        <v>26</v>
      </c>
      <c r="D34" s="1">
        <v>46302</v>
      </c>
      <c r="E34" t="s">
        <v>102</v>
      </c>
      <c r="F34" t="s">
        <v>103</v>
      </c>
      <c r="G34" t="s">
        <v>104</v>
      </c>
      <c r="H34" t="s">
        <v>105</v>
      </c>
      <c r="I34" t="s">
        <v>31</v>
      </c>
      <c r="J34" t="s">
        <v>50</v>
      </c>
      <c r="K34" t="s">
        <v>55</v>
      </c>
      <c r="L34" t="s">
        <v>72</v>
      </c>
      <c r="M34" t="s">
        <v>45</v>
      </c>
      <c r="N34">
        <v>4</v>
      </c>
      <c r="O34">
        <v>4</v>
      </c>
      <c r="P34">
        <v>4</v>
      </c>
      <c r="Q34">
        <v>5</v>
      </c>
      <c r="R34" t="s">
        <v>51</v>
      </c>
      <c r="S34">
        <v>3</v>
      </c>
      <c r="T34">
        <v>9</v>
      </c>
      <c r="U34" t="s">
        <v>37</v>
      </c>
      <c r="V34" t="s">
        <v>38</v>
      </c>
      <c r="W34" s="2">
        <v>46303.567361111112</v>
      </c>
      <c r="X34" t="s">
        <v>39</v>
      </c>
    </row>
    <row r="35" spans="1:24" x14ac:dyDescent="0.25">
      <c r="A35" t="s">
        <v>119</v>
      </c>
      <c r="B35" t="s">
        <v>101</v>
      </c>
      <c r="C35" t="s">
        <v>26</v>
      </c>
      <c r="D35" s="1">
        <v>46302</v>
      </c>
      <c r="E35" t="s">
        <v>102</v>
      </c>
      <c r="F35" t="s">
        <v>103</v>
      </c>
      <c r="G35" t="s">
        <v>112</v>
      </c>
      <c r="H35" t="s">
        <v>105</v>
      </c>
      <c r="I35" t="s">
        <v>31</v>
      </c>
      <c r="J35" t="s">
        <v>32</v>
      </c>
      <c r="K35" t="s">
        <v>43</v>
      </c>
      <c r="L35" t="s">
        <v>44</v>
      </c>
      <c r="M35" t="s">
        <v>35</v>
      </c>
      <c r="N35">
        <v>5</v>
      </c>
      <c r="O35">
        <v>5</v>
      </c>
      <c r="P35">
        <v>4</v>
      </c>
      <c r="Q35">
        <v>4</v>
      </c>
      <c r="R35" t="s">
        <v>51</v>
      </c>
      <c r="S35">
        <v>3</v>
      </c>
      <c r="T35">
        <v>10</v>
      </c>
      <c r="U35" t="s">
        <v>45</v>
      </c>
      <c r="V35" t="s">
        <v>95</v>
      </c>
      <c r="W35" s="2">
        <v>46302.661805555559</v>
      </c>
      <c r="X35" t="s">
        <v>39</v>
      </c>
    </row>
    <row r="36" spans="1:24" x14ac:dyDescent="0.25">
      <c r="A36" t="s">
        <v>120</v>
      </c>
      <c r="B36" t="s">
        <v>101</v>
      </c>
      <c r="C36" t="s">
        <v>26</v>
      </c>
      <c r="D36" s="1">
        <v>46302</v>
      </c>
      <c r="E36" t="s">
        <v>102</v>
      </c>
      <c r="F36" t="s">
        <v>103</v>
      </c>
      <c r="G36" t="s">
        <v>110</v>
      </c>
      <c r="H36" t="s">
        <v>105</v>
      </c>
      <c r="I36" t="s">
        <v>31</v>
      </c>
      <c r="J36" t="s">
        <v>42</v>
      </c>
      <c r="K36" t="s">
        <v>43</v>
      </c>
      <c r="L36" t="s">
        <v>67</v>
      </c>
      <c r="M36" t="s">
        <v>45</v>
      </c>
      <c r="N36">
        <v>3</v>
      </c>
      <c r="O36">
        <v>3</v>
      </c>
      <c r="P36">
        <v>5</v>
      </c>
      <c r="Q36">
        <v>4</v>
      </c>
      <c r="R36" t="s">
        <v>51</v>
      </c>
      <c r="S36">
        <v>4</v>
      </c>
      <c r="T36">
        <v>8</v>
      </c>
      <c r="U36" t="s">
        <v>37</v>
      </c>
      <c r="V36" t="s">
        <v>121</v>
      </c>
      <c r="W36" s="2">
        <v>46303.296527777777</v>
      </c>
      <c r="X36" t="s">
        <v>39</v>
      </c>
    </row>
    <row r="37" spans="1:24" x14ac:dyDescent="0.25">
      <c r="A37" t="s">
        <v>122</v>
      </c>
      <c r="B37" t="s">
        <v>123</v>
      </c>
      <c r="C37" t="s">
        <v>124</v>
      </c>
      <c r="D37" s="1">
        <v>46304</v>
      </c>
      <c r="E37" t="s">
        <v>27</v>
      </c>
      <c r="F37" t="s">
        <v>28</v>
      </c>
      <c r="G37" t="s">
        <v>41</v>
      </c>
      <c r="H37" t="s">
        <v>30</v>
      </c>
      <c r="I37" t="s">
        <v>31</v>
      </c>
      <c r="J37" t="s">
        <v>64</v>
      </c>
      <c r="K37" t="s">
        <v>43</v>
      </c>
      <c r="L37" t="s">
        <v>67</v>
      </c>
      <c r="M37" t="s">
        <v>45</v>
      </c>
      <c r="N37">
        <v>5</v>
      </c>
      <c r="O37">
        <v>4</v>
      </c>
      <c r="P37">
        <v>5</v>
      </c>
      <c r="Q37">
        <v>3</v>
      </c>
      <c r="R37" t="s">
        <v>51</v>
      </c>
      <c r="S37">
        <v>4</v>
      </c>
      <c r="T37">
        <v>7</v>
      </c>
      <c r="U37" t="s">
        <v>37</v>
      </c>
      <c r="V37" t="s">
        <v>125</v>
      </c>
      <c r="W37" s="2">
        <v>46304.552777777775</v>
      </c>
      <c r="X37" t="s">
        <v>39</v>
      </c>
    </row>
    <row r="38" spans="1:24" x14ac:dyDescent="0.25">
      <c r="A38" t="s">
        <v>126</v>
      </c>
      <c r="B38" t="s">
        <v>123</v>
      </c>
      <c r="C38" t="s">
        <v>124</v>
      </c>
      <c r="D38" s="1">
        <v>46304</v>
      </c>
      <c r="E38" t="s">
        <v>27</v>
      </c>
      <c r="F38" t="s">
        <v>28</v>
      </c>
      <c r="G38" t="s">
        <v>49</v>
      </c>
      <c r="H38" t="s">
        <v>30</v>
      </c>
      <c r="I38" t="s">
        <v>31</v>
      </c>
      <c r="J38" t="s">
        <v>71</v>
      </c>
      <c r="K38" t="s">
        <v>43</v>
      </c>
      <c r="L38" t="s">
        <v>34</v>
      </c>
      <c r="M38" t="s">
        <v>45</v>
      </c>
      <c r="N38">
        <v>5</v>
      </c>
      <c r="O38">
        <v>5</v>
      </c>
      <c r="P38">
        <v>4</v>
      </c>
      <c r="Q38">
        <v>4</v>
      </c>
      <c r="R38" t="s">
        <v>51</v>
      </c>
      <c r="S38">
        <v>3</v>
      </c>
      <c r="T38">
        <v>8</v>
      </c>
      <c r="U38" t="s">
        <v>45</v>
      </c>
      <c r="V38" t="s">
        <v>95</v>
      </c>
      <c r="W38" s="2">
        <v>46304.465277777781</v>
      </c>
      <c r="X38" t="s">
        <v>39</v>
      </c>
    </row>
    <row r="39" spans="1:24" x14ac:dyDescent="0.25">
      <c r="A39" t="s">
        <v>127</v>
      </c>
      <c r="B39" t="s">
        <v>123</v>
      </c>
      <c r="C39" t="s">
        <v>124</v>
      </c>
      <c r="D39" s="1">
        <v>46304</v>
      </c>
      <c r="E39" t="s">
        <v>27</v>
      </c>
      <c r="F39" t="s">
        <v>28</v>
      </c>
      <c r="G39" t="s">
        <v>49</v>
      </c>
      <c r="H39" t="s">
        <v>30</v>
      </c>
      <c r="I39" t="s">
        <v>31</v>
      </c>
      <c r="J39" t="s">
        <v>128</v>
      </c>
      <c r="K39" t="s">
        <v>43</v>
      </c>
      <c r="L39" t="s">
        <v>72</v>
      </c>
      <c r="M39" t="s">
        <v>45</v>
      </c>
      <c r="N39">
        <v>1</v>
      </c>
      <c r="O39">
        <v>2</v>
      </c>
      <c r="P39">
        <v>3</v>
      </c>
      <c r="Q39">
        <v>2</v>
      </c>
      <c r="R39" t="s">
        <v>51</v>
      </c>
      <c r="S39">
        <v>1</v>
      </c>
      <c r="T39">
        <v>5</v>
      </c>
      <c r="U39" t="s">
        <v>35</v>
      </c>
      <c r="V39" t="s">
        <v>56</v>
      </c>
      <c r="W39" s="2">
        <v>46306.563888888886</v>
      </c>
      <c r="X39" t="s">
        <v>39</v>
      </c>
    </row>
    <row r="40" spans="1:24" x14ac:dyDescent="0.25">
      <c r="A40" t="s">
        <v>129</v>
      </c>
      <c r="B40" t="s">
        <v>123</v>
      </c>
      <c r="C40" t="s">
        <v>124</v>
      </c>
      <c r="D40" s="1">
        <v>46304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86</v>
      </c>
      <c r="K40" t="s">
        <v>43</v>
      </c>
      <c r="L40" t="s">
        <v>67</v>
      </c>
      <c r="M40" t="s">
        <v>45</v>
      </c>
      <c r="N40">
        <v>2</v>
      </c>
      <c r="O40">
        <v>3</v>
      </c>
      <c r="P40">
        <v>3</v>
      </c>
      <c r="Q40">
        <v>3</v>
      </c>
      <c r="R40" t="s">
        <v>36</v>
      </c>
      <c r="S40">
        <v>5</v>
      </c>
      <c r="T40">
        <v>6</v>
      </c>
      <c r="U40" t="s">
        <v>45</v>
      </c>
      <c r="V40" t="s">
        <v>130</v>
      </c>
      <c r="W40" s="2">
        <v>46305.277777777781</v>
      </c>
      <c r="X40" t="s">
        <v>39</v>
      </c>
    </row>
    <row r="41" spans="1:24" x14ac:dyDescent="0.25">
      <c r="A41" t="s">
        <v>131</v>
      </c>
      <c r="B41" t="s">
        <v>123</v>
      </c>
      <c r="C41" t="s">
        <v>124</v>
      </c>
      <c r="D41" s="1">
        <v>46304</v>
      </c>
      <c r="E41" t="s">
        <v>27</v>
      </c>
      <c r="F41" t="s">
        <v>28</v>
      </c>
      <c r="G41" t="s">
        <v>132</v>
      </c>
      <c r="H41" t="s">
        <v>30</v>
      </c>
      <c r="I41" t="s">
        <v>31</v>
      </c>
      <c r="J41" t="s">
        <v>64</v>
      </c>
      <c r="K41" t="s">
        <v>55</v>
      </c>
      <c r="L41" t="s">
        <v>58</v>
      </c>
      <c r="M41" t="s">
        <v>35</v>
      </c>
      <c r="N41">
        <v>5</v>
      </c>
      <c r="O41">
        <v>4</v>
      </c>
      <c r="P41">
        <v>5</v>
      </c>
      <c r="Q41">
        <v>5</v>
      </c>
      <c r="R41" t="s">
        <v>36</v>
      </c>
      <c r="S41">
        <v>5</v>
      </c>
      <c r="T41">
        <v>8</v>
      </c>
      <c r="U41" t="s">
        <v>45</v>
      </c>
      <c r="V41" t="s">
        <v>95</v>
      </c>
      <c r="W41" s="2">
        <v>46304.677083333336</v>
      </c>
      <c r="X41" t="s">
        <v>39</v>
      </c>
    </row>
    <row r="42" spans="1:24" x14ac:dyDescent="0.25">
      <c r="A42" t="s">
        <v>133</v>
      </c>
      <c r="B42" t="s">
        <v>123</v>
      </c>
      <c r="C42" t="s">
        <v>124</v>
      </c>
      <c r="D42" s="1">
        <v>46304</v>
      </c>
      <c r="E42" t="s">
        <v>27</v>
      </c>
      <c r="F42" t="s">
        <v>28</v>
      </c>
      <c r="G42" t="s">
        <v>49</v>
      </c>
      <c r="H42" t="s">
        <v>30</v>
      </c>
      <c r="I42" t="s">
        <v>31</v>
      </c>
      <c r="J42" t="s">
        <v>32</v>
      </c>
      <c r="K42" t="s">
        <v>65</v>
      </c>
      <c r="L42" t="s">
        <v>72</v>
      </c>
      <c r="M42" t="s">
        <v>45</v>
      </c>
      <c r="N42">
        <v>3</v>
      </c>
      <c r="O42">
        <v>2</v>
      </c>
      <c r="P42">
        <v>2</v>
      </c>
      <c r="Q42">
        <v>2</v>
      </c>
      <c r="R42" t="s">
        <v>51</v>
      </c>
      <c r="S42">
        <v>3</v>
      </c>
      <c r="T42">
        <v>5</v>
      </c>
      <c r="U42" t="s">
        <v>45</v>
      </c>
      <c r="V42" t="s">
        <v>134</v>
      </c>
      <c r="W42" s="2">
        <v>46304.469444444447</v>
      </c>
      <c r="X42" t="s">
        <v>39</v>
      </c>
    </row>
    <row r="43" spans="1:24" x14ac:dyDescent="0.25">
      <c r="A43" t="s">
        <v>135</v>
      </c>
      <c r="B43" t="s">
        <v>123</v>
      </c>
      <c r="C43" t="s">
        <v>124</v>
      </c>
      <c r="D43" s="1">
        <v>46304</v>
      </c>
      <c r="E43" t="s">
        <v>27</v>
      </c>
      <c r="F43" t="s">
        <v>28</v>
      </c>
      <c r="G43" t="s">
        <v>49</v>
      </c>
      <c r="H43" t="s">
        <v>30</v>
      </c>
      <c r="I43" t="s">
        <v>31</v>
      </c>
      <c r="J43" t="s">
        <v>94</v>
      </c>
      <c r="K43" t="s">
        <v>65</v>
      </c>
      <c r="L43" t="s">
        <v>44</v>
      </c>
      <c r="M43" t="s">
        <v>45</v>
      </c>
      <c r="N43">
        <v>5</v>
      </c>
      <c r="O43">
        <v>5</v>
      </c>
      <c r="P43">
        <v>4</v>
      </c>
      <c r="Q43">
        <v>4</v>
      </c>
      <c r="R43" t="s">
        <v>51</v>
      </c>
      <c r="S43">
        <v>3</v>
      </c>
      <c r="T43">
        <v>10</v>
      </c>
      <c r="U43" t="s">
        <v>45</v>
      </c>
      <c r="V43" t="s">
        <v>62</v>
      </c>
      <c r="W43" s="2">
        <v>46306.617361111108</v>
      </c>
      <c r="X43" t="s">
        <v>39</v>
      </c>
    </row>
    <row r="44" spans="1:24" x14ac:dyDescent="0.25">
      <c r="A44" t="s">
        <v>136</v>
      </c>
      <c r="B44" t="s">
        <v>123</v>
      </c>
      <c r="C44" t="s">
        <v>124</v>
      </c>
      <c r="D44" s="1">
        <v>46304</v>
      </c>
      <c r="E44" t="s">
        <v>27</v>
      </c>
      <c r="F44" t="s">
        <v>28</v>
      </c>
      <c r="G44" t="s">
        <v>41</v>
      </c>
      <c r="H44" t="s">
        <v>30</v>
      </c>
      <c r="I44" t="s">
        <v>31</v>
      </c>
      <c r="J44" t="s">
        <v>128</v>
      </c>
      <c r="K44" t="s">
        <v>55</v>
      </c>
      <c r="L44" t="s">
        <v>34</v>
      </c>
      <c r="M44" t="s">
        <v>45</v>
      </c>
      <c r="N44">
        <v>4</v>
      </c>
      <c r="O44">
        <v>5</v>
      </c>
      <c r="P44">
        <v>4</v>
      </c>
      <c r="Q44">
        <v>4</v>
      </c>
      <c r="R44" t="s">
        <v>51</v>
      </c>
      <c r="S44">
        <v>4</v>
      </c>
      <c r="T44">
        <v>9</v>
      </c>
      <c r="U44" t="s">
        <v>35</v>
      </c>
      <c r="W44" s="2">
        <v>46304.472916666666</v>
      </c>
      <c r="X44" t="s">
        <v>39</v>
      </c>
    </row>
    <row r="45" spans="1:24" x14ac:dyDescent="0.25">
      <c r="A45" t="s">
        <v>137</v>
      </c>
      <c r="B45" t="s">
        <v>123</v>
      </c>
      <c r="C45" t="s">
        <v>124</v>
      </c>
      <c r="D45" s="1">
        <v>46304</v>
      </c>
      <c r="E45" t="s">
        <v>27</v>
      </c>
      <c r="F45" t="s">
        <v>28</v>
      </c>
      <c r="G45" t="s">
        <v>49</v>
      </c>
      <c r="H45" t="s">
        <v>30</v>
      </c>
      <c r="I45" t="s">
        <v>31</v>
      </c>
      <c r="J45" t="s">
        <v>81</v>
      </c>
      <c r="K45" t="s">
        <v>138</v>
      </c>
      <c r="L45" t="s">
        <v>44</v>
      </c>
      <c r="M45" t="s">
        <v>45</v>
      </c>
      <c r="N45">
        <v>2</v>
      </c>
      <c r="O45">
        <v>2</v>
      </c>
      <c r="P45">
        <v>2</v>
      </c>
      <c r="Q45">
        <v>1</v>
      </c>
      <c r="R45" t="s">
        <v>46</v>
      </c>
      <c r="S45">
        <v>2</v>
      </c>
      <c r="T45">
        <v>5</v>
      </c>
      <c r="U45" t="s">
        <v>37</v>
      </c>
      <c r="W45" s="2">
        <v>46304.441666666666</v>
      </c>
      <c r="X45" t="s">
        <v>39</v>
      </c>
    </row>
    <row r="46" spans="1:24" x14ac:dyDescent="0.25">
      <c r="A46" t="s">
        <v>139</v>
      </c>
      <c r="B46" t="s">
        <v>123</v>
      </c>
      <c r="C46" t="s">
        <v>124</v>
      </c>
      <c r="D46" s="1">
        <v>46304</v>
      </c>
      <c r="E46" t="s">
        <v>27</v>
      </c>
      <c r="F46" t="s">
        <v>28</v>
      </c>
      <c r="G46" t="s">
        <v>132</v>
      </c>
      <c r="H46" t="s">
        <v>30</v>
      </c>
      <c r="I46" t="s">
        <v>31</v>
      </c>
      <c r="J46" t="s">
        <v>98</v>
      </c>
      <c r="K46" t="s">
        <v>138</v>
      </c>
      <c r="L46" t="s">
        <v>58</v>
      </c>
      <c r="M46" t="s">
        <v>45</v>
      </c>
      <c r="N46">
        <v>3</v>
      </c>
      <c r="O46">
        <v>4</v>
      </c>
      <c r="P46">
        <v>5</v>
      </c>
      <c r="Q46">
        <v>5</v>
      </c>
      <c r="R46" t="s">
        <v>51</v>
      </c>
      <c r="S46">
        <v>5</v>
      </c>
      <c r="T46">
        <v>9</v>
      </c>
      <c r="U46" t="s">
        <v>45</v>
      </c>
      <c r="V46" t="s">
        <v>121</v>
      </c>
      <c r="W46" s="2">
        <v>46304.551388888889</v>
      </c>
      <c r="X46" t="s">
        <v>39</v>
      </c>
    </row>
    <row r="47" spans="1:24" x14ac:dyDescent="0.25">
      <c r="A47" t="s">
        <v>140</v>
      </c>
      <c r="B47" t="s">
        <v>123</v>
      </c>
      <c r="C47" t="s">
        <v>124</v>
      </c>
      <c r="D47" s="1">
        <v>46304</v>
      </c>
      <c r="E47" t="s">
        <v>27</v>
      </c>
      <c r="F47" t="s">
        <v>28</v>
      </c>
      <c r="G47" t="s">
        <v>54</v>
      </c>
      <c r="H47" t="s">
        <v>30</v>
      </c>
      <c r="I47" t="s">
        <v>31</v>
      </c>
      <c r="J47" t="s">
        <v>94</v>
      </c>
      <c r="K47" t="s">
        <v>43</v>
      </c>
      <c r="L47" t="s">
        <v>58</v>
      </c>
      <c r="M47" t="s">
        <v>45</v>
      </c>
      <c r="N47">
        <v>4</v>
      </c>
      <c r="O47">
        <v>4</v>
      </c>
      <c r="P47">
        <v>3</v>
      </c>
      <c r="Q47">
        <v>5</v>
      </c>
      <c r="R47" t="s">
        <v>51</v>
      </c>
      <c r="S47">
        <v>3</v>
      </c>
      <c r="T47">
        <v>8</v>
      </c>
      <c r="U47" t="s">
        <v>45</v>
      </c>
      <c r="W47" s="2">
        <v>46306.384722222225</v>
      </c>
      <c r="X47" t="s">
        <v>39</v>
      </c>
    </row>
    <row r="48" spans="1:24" x14ac:dyDescent="0.25">
      <c r="A48" t="s">
        <v>141</v>
      </c>
      <c r="B48" t="s">
        <v>123</v>
      </c>
      <c r="C48" t="s">
        <v>124</v>
      </c>
      <c r="D48" s="1">
        <v>46304</v>
      </c>
      <c r="E48" t="s">
        <v>27</v>
      </c>
      <c r="F48" t="s">
        <v>28</v>
      </c>
      <c r="G48" t="s">
        <v>41</v>
      </c>
      <c r="H48" t="s">
        <v>30</v>
      </c>
      <c r="I48" t="s">
        <v>31</v>
      </c>
      <c r="J48" t="s">
        <v>81</v>
      </c>
      <c r="K48" t="s">
        <v>43</v>
      </c>
      <c r="L48" t="s">
        <v>58</v>
      </c>
      <c r="M48" t="s">
        <v>45</v>
      </c>
      <c r="N48">
        <v>4</v>
      </c>
      <c r="O48">
        <v>4</v>
      </c>
      <c r="P48">
        <v>4</v>
      </c>
      <c r="Q48">
        <v>4</v>
      </c>
      <c r="R48" t="s">
        <v>51</v>
      </c>
      <c r="S48">
        <v>5</v>
      </c>
      <c r="T48">
        <v>8</v>
      </c>
      <c r="U48" t="s">
        <v>35</v>
      </c>
      <c r="V48" t="s">
        <v>95</v>
      </c>
      <c r="W48" s="2">
        <v>46304.426388888889</v>
      </c>
      <c r="X48" t="s">
        <v>39</v>
      </c>
    </row>
    <row r="49" spans="1:24" x14ac:dyDescent="0.25">
      <c r="A49" t="s">
        <v>142</v>
      </c>
      <c r="B49" t="s">
        <v>123</v>
      </c>
      <c r="C49" t="s">
        <v>124</v>
      </c>
      <c r="D49" s="1">
        <v>46304</v>
      </c>
      <c r="E49" t="s">
        <v>27</v>
      </c>
      <c r="F49" t="s">
        <v>28</v>
      </c>
      <c r="G49" t="s">
        <v>132</v>
      </c>
      <c r="H49" t="s">
        <v>30</v>
      </c>
      <c r="I49" t="s">
        <v>31</v>
      </c>
      <c r="J49" t="s">
        <v>98</v>
      </c>
      <c r="K49" t="s">
        <v>65</v>
      </c>
      <c r="L49" t="s">
        <v>58</v>
      </c>
      <c r="M49" t="s">
        <v>45</v>
      </c>
      <c r="N49">
        <v>3</v>
      </c>
      <c r="O49">
        <v>5</v>
      </c>
      <c r="Q49">
        <v>5</v>
      </c>
      <c r="R49" t="s">
        <v>36</v>
      </c>
      <c r="S49">
        <v>4</v>
      </c>
      <c r="T49">
        <v>8</v>
      </c>
      <c r="U49" t="s">
        <v>45</v>
      </c>
      <c r="V49" t="s">
        <v>52</v>
      </c>
      <c r="W49" s="2">
        <v>46304.714583333334</v>
      </c>
      <c r="X49" t="s">
        <v>39</v>
      </c>
    </row>
    <row r="50" spans="1:24" x14ac:dyDescent="0.25">
      <c r="A50" t="s">
        <v>143</v>
      </c>
      <c r="B50" t="s">
        <v>123</v>
      </c>
      <c r="C50" t="s">
        <v>124</v>
      </c>
      <c r="D50" s="1">
        <v>46304</v>
      </c>
      <c r="E50" t="s">
        <v>27</v>
      </c>
      <c r="F50" t="s">
        <v>28</v>
      </c>
      <c r="G50" t="s">
        <v>132</v>
      </c>
      <c r="H50" t="s">
        <v>30</v>
      </c>
      <c r="I50" t="s">
        <v>31</v>
      </c>
      <c r="J50" t="s">
        <v>128</v>
      </c>
      <c r="K50" t="s">
        <v>55</v>
      </c>
      <c r="L50" t="s">
        <v>72</v>
      </c>
      <c r="M50" t="s">
        <v>45</v>
      </c>
      <c r="N50">
        <v>3</v>
      </c>
      <c r="O50">
        <v>4</v>
      </c>
      <c r="P50">
        <v>4</v>
      </c>
      <c r="Q50">
        <v>4</v>
      </c>
      <c r="R50" t="s">
        <v>46</v>
      </c>
      <c r="S50">
        <v>4</v>
      </c>
      <c r="T50">
        <v>7</v>
      </c>
      <c r="U50" t="s">
        <v>45</v>
      </c>
      <c r="V50" t="s">
        <v>47</v>
      </c>
      <c r="W50" s="2">
        <v>46304.498611111114</v>
      </c>
      <c r="X50" t="s">
        <v>39</v>
      </c>
    </row>
    <row r="51" spans="1:24" x14ac:dyDescent="0.25">
      <c r="A51" t="s">
        <v>144</v>
      </c>
      <c r="B51" t="s">
        <v>123</v>
      </c>
      <c r="C51" t="s">
        <v>124</v>
      </c>
      <c r="D51" s="1">
        <v>46304</v>
      </c>
      <c r="E51" t="s">
        <v>27</v>
      </c>
      <c r="F51" t="s">
        <v>28</v>
      </c>
      <c r="G51" t="s">
        <v>49</v>
      </c>
      <c r="H51" t="s">
        <v>30</v>
      </c>
      <c r="I51" t="s">
        <v>31</v>
      </c>
      <c r="J51" t="s">
        <v>86</v>
      </c>
      <c r="K51" t="s">
        <v>65</v>
      </c>
      <c r="L51" t="s">
        <v>67</v>
      </c>
      <c r="M51" t="s">
        <v>45</v>
      </c>
      <c r="N51">
        <v>5</v>
      </c>
      <c r="O51">
        <v>5</v>
      </c>
      <c r="P51">
        <v>5</v>
      </c>
      <c r="Q51">
        <v>5</v>
      </c>
      <c r="R51" t="s">
        <v>51</v>
      </c>
      <c r="S51">
        <v>4</v>
      </c>
      <c r="T51">
        <v>10</v>
      </c>
      <c r="U51" t="s">
        <v>45</v>
      </c>
      <c r="V51" t="s">
        <v>38</v>
      </c>
      <c r="W51" s="2">
        <v>46304.529861111114</v>
      </c>
      <c r="X51" t="s">
        <v>39</v>
      </c>
    </row>
    <row r="52" spans="1:24" x14ac:dyDescent="0.25">
      <c r="A52" t="s">
        <v>145</v>
      </c>
      <c r="B52" t="s">
        <v>146</v>
      </c>
      <c r="C52" t="s">
        <v>124</v>
      </c>
      <c r="D52" s="1">
        <v>46307</v>
      </c>
      <c r="E52" t="s">
        <v>77</v>
      </c>
      <c r="F52" t="s">
        <v>78</v>
      </c>
      <c r="G52" t="s">
        <v>85</v>
      </c>
      <c r="H52" t="s">
        <v>80</v>
      </c>
      <c r="I52" t="s">
        <v>31</v>
      </c>
      <c r="J52" t="s">
        <v>98</v>
      </c>
      <c r="K52" t="s">
        <v>55</v>
      </c>
      <c r="L52" t="s">
        <v>72</v>
      </c>
      <c r="M52" t="s">
        <v>45</v>
      </c>
      <c r="N52">
        <v>4</v>
      </c>
      <c r="O52">
        <v>5</v>
      </c>
      <c r="P52">
        <v>4</v>
      </c>
      <c r="Q52">
        <v>4</v>
      </c>
      <c r="R52" t="s">
        <v>51</v>
      </c>
      <c r="S52">
        <v>4</v>
      </c>
      <c r="T52">
        <v>8</v>
      </c>
      <c r="U52" t="s">
        <v>37</v>
      </c>
      <c r="V52" t="s">
        <v>147</v>
      </c>
      <c r="W52" s="2">
        <v>46309.629166666666</v>
      </c>
      <c r="X52" t="s">
        <v>39</v>
      </c>
    </row>
    <row r="53" spans="1:24" x14ac:dyDescent="0.25">
      <c r="A53" t="s">
        <v>148</v>
      </c>
      <c r="B53" t="s">
        <v>146</v>
      </c>
      <c r="C53" t="s">
        <v>124</v>
      </c>
      <c r="D53" s="1">
        <v>46307</v>
      </c>
      <c r="E53" t="s">
        <v>77</v>
      </c>
      <c r="F53" t="s">
        <v>78</v>
      </c>
      <c r="G53" t="s">
        <v>85</v>
      </c>
      <c r="H53" t="s">
        <v>80</v>
      </c>
      <c r="I53" t="s">
        <v>31</v>
      </c>
      <c r="J53" t="s">
        <v>71</v>
      </c>
      <c r="K53" t="s">
        <v>65</v>
      </c>
      <c r="L53" t="s">
        <v>34</v>
      </c>
      <c r="M53" t="s">
        <v>45</v>
      </c>
      <c r="N53">
        <v>4</v>
      </c>
      <c r="O53">
        <v>5</v>
      </c>
      <c r="P53">
        <v>4</v>
      </c>
      <c r="Q53">
        <v>3</v>
      </c>
      <c r="R53" t="s">
        <v>46</v>
      </c>
      <c r="S53">
        <v>5</v>
      </c>
      <c r="T53">
        <v>6</v>
      </c>
      <c r="U53" t="s">
        <v>45</v>
      </c>
      <c r="V53" t="s">
        <v>62</v>
      </c>
      <c r="W53" s="2">
        <v>46309.572222222225</v>
      </c>
      <c r="X53" t="s">
        <v>39</v>
      </c>
    </row>
    <row r="54" spans="1:24" x14ac:dyDescent="0.25">
      <c r="A54" t="s">
        <v>149</v>
      </c>
      <c r="B54" t="s">
        <v>146</v>
      </c>
      <c r="C54" t="s">
        <v>124</v>
      </c>
      <c r="D54" s="1">
        <v>46307</v>
      </c>
      <c r="E54" t="s">
        <v>77</v>
      </c>
      <c r="F54" t="s">
        <v>78</v>
      </c>
      <c r="G54" t="s">
        <v>85</v>
      </c>
      <c r="H54" t="s">
        <v>80</v>
      </c>
      <c r="I54" t="s">
        <v>31</v>
      </c>
      <c r="J54" t="s">
        <v>50</v>
      </c>
      <c r="K54" t="s">
        <v>33</v>
      </c>
      <c r="L54" t="s">
        <v>58</v>
      </c>
      <c r="M54" t="s">
        <v>35</v>
      </c>
      <c r="N54">
        <v>4</v>
      </c>
      <c r="O54">
        <v>3</v>
      </c>
      <c r="P54">
        <v>4</v>
      </c>
      <c r="Q54">
        <v>3</v>
      </c>
      <c r="R54" t="s">
        <v>51</v>
      </c>
      <c r="S54">
        <v>5</v>
      </c>
      <c r="T54">
        <v>9</v>
      </c>
      <c r="U54" t="s">
        <v>45</v>
      </c>
      <c r="V54" t="s">
        <v>91</v>
      </c>
      <c r="W54" s="2">
        <v>46308.279861111114</v>
      </c>
      <c r="X54" t="s">
        <v>39</v>
      </c>
    </row>
    <row r="55" spans="1:24" x14ac:dyDescent="0.25">
      <c r="A55" t="s">
        <v>150</v>
      </c>
      <c r="B55" t="s">
        <v>146</v>
      </c>
      <c r="C55" t="s">
        <v>124</v>
      </c>
      <c r="D55" s="1">
        <v>46307</v>
      </c>
      <c r="E55" t="s">
        <v>77</v>
      </c>
      <c r="F55" t="s">
        <v>78</v>
      </c>
      <c r="G55" t="s">
        <v>83</v>
      </c>
      <c r="H55" t="s">
        <v>80</v>
      </c>
      <c r="I55" t="s">
        <v>31</v>
      </c>
      <c r="J55" t="s">
        <v>81</v>
      </c>
      <c r="K55" t="s">
        <v>138</v>
      </c>
      <c r="L55" t="s">
        <v>67</v>
      </c>
      <c r="M55" t="s">
        <v>45</v>
      </c>
      <c r="N55">
        <v>4</v>
      </c>
      <c r="O55">
        <v>4</v>
      </c>
      <c r="P55">
        <v>4</v>
      </c>
      <c r="Q55">
        <v>3</v>
      </c>
      <c r="R55" t="s">
        <v>51</v>
      </c>
      <c r="S55">
        <v>4</v>
      </c>
      <c r="T55">
        <v>6</v>
      </c>
      <c r="U55" t="s">
        <v>45</v>
      </c>
      <c r="V55" t="s">
        <v>95</v>
      </c>
      <c r="W55" s="2">
        <v>46307.723611111112</v>
      </c>
      <c r="X55" t="s">
        <v>39</v>
      </c>
    </row>
    <row r="56" spans="1:24" x14ac:dyDescent="0.25">
      <c r="A56" t="s">
        <v>151</v>
      </c>
      <c r="B56" t="s">
        <v>146</v>
      </c>
      <c r="C56" t="s">
        <v>124</v>
      </c>
      <c r="D56" s="1">
        <v>46307</v>
      </c>
      <c r="E56" t="s">
        <v>77</v>
      </c>
      <c r="F56" t="s">
        <v>78</v>
      </c>
      <c r="G56" t="s">
        <v>85</v>
      </c>
      <c r="H56" t="s">
        <v>80</v>
      </c>
      <c r="I56" t="s">
        <v>31</v>
      </c>
      <c r="J56" t="s">
        <v>128</v>
      </c>
      <c r="K56" t="s">
        <v>65</v>
      </c>
      <c r="L56" t="s">
        <v>34</v>
      </c>
      <c r="M56" t="s">
        <v>45</v>
      </c>
      <c r="N56">
        <v>5</v>
      </c>
      <c r="O56">
        <v>5</v>
      </c>
      <c r="P56">
        <v>5</v>
      </c>
      <c r="Q56">
        <v>5</v>
      </c>
      <c r="R56" t="s">
        <v>36</v>
      </c>
      <c r="S56">
        <v>4</v>
      </c>
      <c r="T56">
        <v>10</v>
      </c>
      <c r="U56" t="s">
        <v>37</v>
      </c>
      <c r="V56" t="s">
        <v>91</v>
      </c>
      <c r="W56" s="2">
        <v>46308.561805555553</v>
      </c>
      <c r="X56" t="s">
        <v>39</v>
      </c>
    </row>
    <row r="57" spans="1:24" x14ac:dyDescent="0.25">
      <c r="A57" t="s">
        <v>152</v>
      </c>
      <c r="B57" t="s">
        <v>146</v>
      </c>
      <c r="C57" t="s">
        <v>124</v>
      </c>
      <c r="D57" s="1">
        <v>46307</v>
      </c>
      <c r="E57" t="s">
        <v>77</v>
      </c>
      <c r="F57" t="s">
        <v>78</v>
      </c>
      <c r="G57" t="s">
        <v>85</v>
      </c>
      <c r="H57" t="s">
        <v>80</v>
      </c>
      <c r="I57" t="s">
        <v>31</v>
      </c>
      <c r="J57" t="s">
        <v>64</v>
      </c>
      <c r="K57" t="s">
        <v>55</v>
      </c>
      <c r="L57" t="s">
        <v>58</v>
      </c>
      <c r="M57" t="s">
        <v>45</v>
      </c>
      <c r="N57">
        <v>5</v>
      </c>
      <c r="O57">
        <v>4</v>
      </c>
      <c r="P57">
        <v>5</v>
      </c>
      <c r="Q57">
        <v>4</v>
      </c>
      <c r="R57" t="s">
        <v>51</v>
      </c>
      <c r="S57">
        <v>5</v>
      </c>
      <c r="T57">
        <v>10</v>
      </c>
      <c r="U57" t="s">
        <v>45</v>
      </c>
      <c r="V57" t="s">
        <v>147</v>
      </c>
      <c r="W57" s="2">
        <v>46308.759027777778</v>
      </c>
      <c r="X57" t="s">
        <v>39</v>
      </c>
    </row>
    <row r="58" spans="1:24" x14ac:dyDescent="0.25">
      <c r="A58" t="s">
        <v>153</v>
      </c>
      <c r="B58" t="s">
        <v>146</v>
      </c>
      <c r="C58" t="s">
        <v>124</v>
      </c>
      <c r="D58" s="1">
        <v>46307</v>
      </c>
      <c r="E58" t="s">
        <v>77</v>
      </c>
      <c r="F58" t="s">
        <v>78</v>
      </c>
      <c r="G58" t="s">
        <v>79</v>
      </c>
      <c r="H58" t="s">
        <v>80</v>
      </c>
      <c r="I58" t="s">
        <v>31</v>
      </c>
      <c r="J58" t="s">
        <v>32</v>
      </c>
      <c r="K58" t="s">
        <v>138</v>
      </c>
      <c r="L58" t="s">
        <v>58</v>
      </c>
      <c r="M58" t="s">
        <v>35</v>
      </c>
      <c r="N58">
        <v>3</v>
      </c>
      <c r="O58">
        <v>4</v>
      </c>
      <c r="P58">
        <v>4</v>
      </c>
      <c r="Q58">
        <v>4</v>
      </c>
      <c r="R58" t="s">
        <v>51</v>
      </c>
      <c r="S58">
        <v>4</v>
      </c>
      <c r="T58">
        <v>8</v>
      </c>
      <c r="U58" t="s">
        <v>45</v>
      </c>
      <c r="V58" t="s">
        <v>52</v>
      </c>
      <c r="W58" s="2">
        <v>46307.678472222222</v>
      </c>
      <c r="X58" t="s">
        <v>39</v>
      </c>
    </row>
    <row r="59" spans="1:24" x14ac:dyDescent="0.25">
      <c r="A59" t="s">
        <v>154</v>
      </c>
      <c r="B59" t="s">
        <v>146</v>
      </c>
      <c r="C59" t="s">
        <v>124</v>
      </c>
      <c r="D59" s="1">
        <v>46307</v>
      </c>
      <c r="E59" t="s">
        <v>77</v>
      </c>
      <c r="F59" t="s">
        <v>78</v>
      </c>
      <c r="G59" t="s">
        <v>79</v>
      </c>
      <c r="H59" t="s">
        <v>80</v>
      </c>
      <c r="I59" t="s">
        <v>31</v>
      </c>
      <c r="J59" t="s">
        <v>107</v>
      </c>
      <c r="K59" t="s">
        <v>43</v>
      </c>
      <c r="L59" t="s">
        <v>44</v>
      </c>
      <c r="M59" t="s">
        <v>45</v>
      </c>
      <c r="N59">
        <v>4</v>
      </c>
      <c r="O59">
        <v>4</v>
      </c>
      <c r="P59">
        <v>4</v>
      </c>
      <c r="Q59">
        <v>5</v>
      </c>
      <c r="R59" t="s">
        <v>46</v>
      </c>
      <c r="S59">
        <v>4</v>
      </c>
      <c r="T59">
        <v>8</v>
      </c>
      <c r="U59" t="s">
        <v>45</v>
      </c>
      <c r="V59" t="s">
        <v>147</v>
      </c>
      <c r="W59" s="2">
        <v>46307.738888888889</v>
      </c>
      <c r="X59" t="s">
        <v>39</v>
      </c>
    </row>
    <row r="60" spans="1:24" x14ac:dyDescent="0.25">
      <c r="A60" t="s">
        <v>155</v>
      </c>
      <c r="B60" t="s">
        <v>146</v>
      </c>
      <c r="C60" t="s">
        <v>124</v>
      </c>
      <c r="D60" s="1">
        <v>46307</v>
      </c>
      <c r="E60" t="s">
        <v>77</v>
      </c>
      <c r="F60" t="s">
        <v>78</v>
      </c>
      <c r="G60" t="s">
        <v>79</v>
      </c>
      <c r="H60" t="s">
        <v>80</v>
      </c>
      <c r="I60" t="s">
        <v>31</v>
      </c>
      <c r="J60" t="s">
        <v>86</v>
      </c>
      <c r="K60" t="s">
        <v>138</v>
      </c>
      <c r="L60" t="s">
        <v>44</v>
      </c>
      <c r="M60" t="s">
        <v>45</v>
      </c>
      <c r="N60">
        <v>4</v>
      </c>
      <c r="O60">
        <v>4</v>
      </c>
      <c r="P60">
        <v>4</v>
      </c>
      <c r="Q60">
        <v>3</v>
      </c>
      <c r="R60" t="s">
        <v>51</v>
      </c>
      <c r="S60">
        <v>5</v>
      </c>
      <c r="T60">
        <v>6</v>
      </c>
      <c r="U60" t="s">
        <v>37</v>
      </c>
      <c r="V60" t="s">
        <v>121</v>
      </c>
      <c r="W60" s="2">
        <v>46307.732638888891</v>
      </c>
      <c r="X60" t="s">
        <v>39</v>
      </c>
    </row>
    <row r="61" spans="1:24" x14ac:dyDescent="0.25">
      <c r="A61" t="s">
        <v>156</v>
      </c>
      <c r="B61" t="s">
        <v>146</v>
      </c>
      <c r="C61" t="s">
        <v>124</v>
      </c>
      <c r="D61" s="1">
        <v>46307</v>
      </c>
      <c r="E61" t="s">
        <v>77</v>
      </c>
      <c r="F61" t="s">
        <v>78</v>
      </c>
      <c r="G61" t="s">
        <v>83</v>
      </c>
      <c r="H61" t="s">
        <v>80</v>
      </c>
      <c r="I61" t="s">
        <v>31</v>
      </c>
      <c r="J61" t="s">
        <v>32</v>
      </c>
      <c r="K61" t="s">
        <v>43</v>
      </c>
      <c r="L61" t="s">
        <v>72</v>
      </c>
      <c r="M61" t="s">
        <v>45</v>
      </c>
      <c r="N61">
        <v>3</v>
      </c>
      <c r="O61">
        <v>4</v>
      </c>
      <c r="P61">
        <v>3</v>
      </c>
      <c r="Q61">
        <v>3</v>
      </c>
      <c r="R61" t="s">
        <v>51</v>
      </c>
      <c r="S61">
        <v>4</v>
      </c>
      <c r="T61">
        <v>5</v>
      </c>
      <c r="U61" t="s">
        <v>37</v>
      </c>
      <c r="V61" t="s">
        <v>130</v>
      </c>
      <c r="W61" s="2">
        <v>46308.520833333336</v>
      </c>
      <c r="X61" t="s">
        <v>39</v>
      </c>
    </row>
    <row r="62" spans="1:24" x14ac:dyDescent="0.25">
      <c r="A62" t="s">
        <v>157</v>
      </c>
      <c r="B62" t="s">
        <v>146</v>
      </c>
      <c r="C62" t="s">
        <v>124</v>
      </c>
      <c r="D62" s="1">
        <v>46307</v>
      </c>
      <c r="E62" t="s">
        <v>77</v>
      </c>
      <c r="F62" t="s">
        <v>78</v>
      </c>
      <c r="G62" t="s">
        <v>83</v>
      </c>
      <c r="H62" t="s">
        <v>80</v>
      </c>
      <c r="I62" t="s">
        <v>31</v>
      </c>
      <c r="J62" t="s">
        <v>94</v>
      </c>
      <c r="K62" t="s">
        <v>43</v>
      </c>
      <c r="L62" t="s">
        <v>58</v>
      </c>
      <c r="M62" t="s">
        <v>45</v>
      </c>
      <c r="N62">
        <v>4</v>
      </c>
      <c r="O62">
        <v>4</v>
      </c>
      <c r="P62">
        <v>3</v>
      </c>
      <c r="Q62">
        <v>4</v>
      </c>
      <c r="R62" t="s">
        <v>36</v>
      </c>
      <c r="S62">
        <v>3</v>
      </c>
      <c r="T62">
        <v>8</v>
      </c>
      <c r="U62" t="s">
        <v>37</v>
      </c>
      <c r="W62" s="2">
        <v>46307.612500000003</v>
      </c>
      <c r="X62" t="s">
        <v>39</v>
      </c>
    </row>
    <row r="63" spans="1:24" x14ac:dyDescent="0.25">
      <c r="A63" t="s">
        <v>158</v>
      </c>
      <c r="B63" t="s">
        <v>159</v>
      </c>
      <c r="C63" t="s">
        <v>124</v>
      </c>
      <c r="D63" s="1">
        <v>46307</v>
      </c>
      <c r="E63" t="s">
        <v>102</v>
      </c>
      <c r="F63" t="s">
        <v>103</v>
      </c>
      <c r="G63" t="s">
        <v>110</v>
      </c>
      <c r="H63" t="s">
        <v>105</v>
      </c>
      <c r="I63" t="s">
        <v>31</v>
      </c>
      <c r="J63" t="s">
        <v>64</v>
      </c>
      <c r="K63" t="s">
        <v>43</v>
      </c>
      <c r="L63" t="s">
        <v>34</v>
      </c>
      <c r="M63" t="s">
        <v>45</v>
      </c>
      <c r="N63">
        <v>3</v>
      </c>
      <c r="O63">
        <v>3</v>
      </c>
      <c r="P63">
        <v>1</v>
      </c>
      <c r="Q63">
        <v>2</v>
      </c>
      <c r="R63" t="s">
        <v>46</v>
      </c>
      <c r="S63">
        <v>3</v>
      </c>
      <c r="T63">
        <v>5</v>
      </c>
      <c r="U63" t="s">
        <v>35</v>
      </c>
      <c r="W63" s="2">
        <v>46309.413194444445</v>
      </c>
      <c r="X63" t="s">
        <v>39</v>
      </c>
    </row>
    <row r="64" spans="1:24" x14ac:dyDescent="0.25">
      <c r="A64" t="s">
        <v>160</v>
      </c>
      <c r="B64" t="s">
        <v>159</v>
      </c>
      <c r="C64" t="s">
        <v>124</v>
      </c>
      <c r="D64" s="1">
        <v>46307</v>
      </c>
      <c r="E64" t="s">
        <v>102</v>
      </c>
      <c r="F64" t="s">
        <v>103</v>
      </c>
      <c r="G64" t="s">
        <v>104</v>
      </c>
      <c r="H64" t="s">
        <v>105</v>
      </c>
      <c r="I64" t="s">
        <v>31</v>
      </c>
      <c r="J64" t="s">
        <v>98</v>
      </c>
      <c r="K64" t="s">
        <v>43</v>
      </c>
      <c r="L64" t="s">
        <v>58</v>
      </c>
      <c r="M64" t="s">
        <v>45</v>
      </c>
      <c r="N64">
        <v>3</v>
      </c>
      <c r="O64">
        <v>4</v>
      </c>
      <c r="P64">
        <v>4</v>
      </c>
      <c r="Q64">
        <v>3</v>
      </c>
      <c r="R64" t="s">
        <v>51</v>
      </c>
      <c r="S64">
        <v>4</v>
      </c>
      <c r="T64">
        <v>4</v>
      </c>
      <c r="U64" t="s">
        <v>45</v>
      </c>
      <c r="V64" t="s">
        <v>47</v>
      </c>
      <c r="W64" s="2">
        <v>46309.560416666667</v>
      </c>
      <c r="X64" t="s">
        <v>39</v>
      </c>
    </row>
    <row r="65" spans="1:24" x14ac:dyDescent="0.25">
      <c r="A65" t="s">
        <v>161</v>
      </c>
      <c r="B65" t="s">
        <v>159</v>
      </c>
      <c r="C65" t="s">
        <v>124</v>
      </c>
      <c r="D65" s="1">
        <v>46307</v>
      </c>
      <c r="E65" t="s">
        <v>102</v>
      </c>
      <c r="F65" t="s">
        <v>103</v>
      </c>
      <c r="G65" t="s">
        <v>110</v>
      </c>
      <c r="H65" t="s">
        <v>105</v>
      </c>
      <c r="I65" t="s">
        <v>31</v>
      </c>
      <c r="J65" t="s">
        <v>71</v>
      </c>
      <c r="K65" t="s">
        <v>55</v>
      </c>
      <c r="L65" t="s">
        <v>72</v>
      </c>
      <c r="M65" t="s">
        <v>45</v>
      </c>
      <c r="N65">
        <v>5</v>
      </c>
      <c r="O65">
        <v>5</v>
      </c>
      <c r="P65">
        <v>5</v>
      </c>
      <c r="Q65">
        <v>5</v>
      </c>
      <c r="R65" t="s">
        <v>51</v>
      </c>
      <c r="S65">
        <v>4</v>
      </c>
      <c r="T65">
        <v>10</v>
      </c>
      <c r="U65" t="s">
        <v>35</v>
      </c>
      <c r="W65" s="2">
        <v>46308.777777777781</v>
      </c>
      <c r="X65" t="s">
        <v>39</v>
      </c>
    </row>
    <row r="66" spans="1:24" x14ac:dyDescent="0.25">
      <c r="A66" t="s">
        <v>162</v>
      </c>
      <c r="B66" t="s">
        <v>159</v>
      </c>
      <c r="C66" t="s">
        <v>124</v>
      </c>
      <c r="D66" s="1">
        <v>46307</v>
      </c>
      <c r="E66" t="s">
        <v>102</v>
      </c>
      <c r="F66" t="s">
        <v>103</v>
      </c>
      <c r="G66" t="s">
        <v>112</v>
      </c>
      <c r="H66" t="s">
        <v>105</v>
      </c>
      <c r="I66" t="s">
        <v>31</v>
      </c>
      <c r="J66" t="s">
        <v>163</v>
      </c>
      <c r="K66" t="s">
        <v>55</v>
      </c>
      <c r="L66" t="s">
        <v>72</v>
      </c>
      <c r="M66" t="s">
        <v>45</v>
      </c>
      <c r="N66">
        <v>1</v>
      </c>
      <c r="O66">
        <v>3</v>
      </c>
      <c r="P66">
        <v>2</v>
      </c>
      <c r="Q66">
        <v>2</v>
      </c>
      <c r="R66" t="s">
        <v>51</v>
      </c>
      <c r="S66">
        <v>2</v>
      </c>
      <c r="T66">
        <v>4</v>
      </c>
      <c r="U66" t="s">
        <v>35</v>
      </c>
      <c r="V66" t="s">
        <v>56</v>
      </c>
      <c r="W66" s="2">
        <v>46308.618750000001</v>
      </c>
      <c r="X66" t="s">
        <v>39</v>
      </c>
    </row>
    <row r="67" spans="1:24" x14ac:dyDescent="0.25">
      <c r="A67" t="s">
        <v>164</v>
      </c>
      <c r="B67" t="s">
        <v>159</v>
      </c>
      <c r="C67" t="s">
        <v>124</v>
      </c>
      <c r="D67" s="1">
        <v>46307</v>
      </c>
      <c r="E67" t="s">
        <v>102</v>
      </c>
      <c r="F67" t="s">
        <v>103</v>
      </c>
      <c r="G67" t="s">
        <v>104</v>
      </c>
      <c r="H67" t="s">
        <v>105</v>
      </c>
      <c r="I67" t="s">
        <v>31</v>
      </c>
      <c r="J67" t="s">
        <v>94</v>
      </c>
      <c r="K67" t="s">
        <v>43</v>
      </c>
      <c r="L67" t="s">
        <v>67</v>
      </c>
      <c r="M67" t="s">
        <v>45</v>
      </c>
      <c r="N67">
        <v>3</v>
      </c>
      <c r="O67">
        <v>3</v>
      </c>
      <c r="P67">
        <v>4</v>
      </c>
      <c r="Q67">
        <v>4</v>
      </c>
      <c r="R67" t="s">
        <v>51</v>
      </c>
      <c r="S67">
        <v>4</v>
      </c>
      <c r="T67">
        <v>6</v>
      </c>
      <c r="U67" t="s">
        <v>45</v>
      </c>
      <c r="V67" t="s">
        <v>38</v>
      </c>
      <c r="W67" s="2">
        <v>46309.563888888886</v>
      </c>
      <c r="X67" t="s">
        <v>39</v>
      </c>
    </row>
    <row r="68" spans="1:24" x14ac:dyDescent="0.25">
      <c r="A68" t="s">
        <v>165</v>
      </c>
      <c r="B68" t="s">
        <v>159</v>
      </c>
      <c r="C68" t="s">
        <v>124</v>
      </c>
      <c r="D68" s="1">
        <v>46307</v>
      </c>
      <c r="E68" t="s">
        <v>102</v>
      </c>
      <c r="F68" t="s">
        <v>103</v>
      </c>
      <c r="G68" t="s">
        <v>110</v>
      </c>
      <c r="H68" t="s">
        <v>105</v>
      </c>
      <c r="I68" t="s">
        <v>31</v>
      </c>
      <c r="J68" t="s">
        <v>71</v>
      </c>
      <c r="K68" t="s">
        <v>65</v>
      </c>
      <c r="L68" t="s">
        <v>67</v>
      </c>
      <c r="M68" t="s">
        <v>45</v>
      </c>
      <c r="N68">
        <v>2</v>
      </c>
      <c r="O68">
        <v>2</v>
      </c>
      <c r="P68">
        <v>2</v>
      </c>
      <c r="Q68">
        <v>3</v>
      </c>
      <c r="R68" t="s">
        <v>51</v>
      </c>
      <c r="S68">
        <v>4</v>
      </c>
      <c r="T68">
        <v>4</v>
      </c>
      <c r="U68" t="s">
        <v>45</v>
      </c>
      <c r="V68" t="s">
        <v>108</v>
      </c>
      <c r="W68" s="2">
        <v>46309.556250000001</v>
      </c>
      <c r="X68" t="s">
        <v>39</v>
      </c>
    </row>
    <row r="69" spans="1:24" x14ac:dyDescent="0.25">
      <c r="A69" t="s">
        <v>166</v>
      </c>
      <c r="B69" t="s">
        <v>159</v>
      </c>
      <c r="C69" t="s">
        <v>124</v>
      </c>
      <c r="D69" s="1">
        <v>46307</v>
      </c>
      <c r="E69" t="s">
        <v>102</v>
      </c>
      <c r="F69" t="s">
        <v>103</v>
      </c>
      <c r="G69" t="s">
        <v>104</v>
      </c>
      <c r="H69" t="s">
        <v>105</v>
      </c>
      <c r="I69" t="s">
        <v>31</v>
      </c>
      <c r="J69" t="s">
        <v>32</v>
      </c>
      <c r="K69" t="s">
        <v>43</v>
      </c>
      <c r="L69" t="s">
        <v>44</v>
      </c>
      <c r="M69" t="s">
        <v>35</v>
      </c>
      <c r="N69">
        <v>3</v>
      </c>
      <c r="O69">
        <v>2</v>
      </c>
      <c r="P69">
        <v>3</v>
      </c>
      <c r="Q69">
        <v>3</v>
      </c>
      <c r="R69" t="s">
        <v>51</v>
      </c>
      <c r="S69">
        <v>5</v>
      </c>
      <c r="T69">
        <v>6</v>
      </c>
      <c r="U69" t="s">
        <v>35</v>
      </c>
      <c r="V69" t="s">
        <v>167</v>
      </c>
      <c r="W69" s="2">
        <v>46309.535416666666</v>
      </c>
      <c r="X69" t="s">
        <v>39</v>
      </c>
    </row>
    <row r="70" spans="1:24" x14ac:dyDescent="0.25">
      <c r="A70" t="s">
        <v>168</v>
      </c>
      <c r="B70" t="s">
        <v>159</v>
      </c>
      <c r="C70" t="s">
        <v>124</v>
      </c>
      <c r="D70" s="1">
        <v>46307</v>
      </c>
      <c r="E70" t="s">
        <v>102</v>
      </c>
      <c r="F70" t="s">
        <v>103</v>
      </c>
      <c r="G70" t="s">
        <v>104</v>
      </c>
      <c r="H70" t="s">
        <v>105</v>
      </c>
      <c r="I70" t="s">
        <v>31</v>
      </c>
      <c r="J70" t="s">
        <v>163</v>
      </c>
      <c r="K70" t="s">
        <v>33</v>
      </c>
      <c r="L70" t="s">
        <v>34</v>
      </c>
      <c r="M70" t="s">
        <v>45</v>
      </c>
      <c r="N70">
        <v>5</v>
      </c>
      <c r="O70">
        <v>5</v>
      </c>
      <c r="Q70">
        <v>5</v>
      </c>
      <c r="R70" t="s">
        <v>51</v>
      </c>
      <c r="S70">
        <v>5</v>
      </c>
      <c r="T70">
        <v>10</v>
      </c>
      <c r="U70" t="s">
        <v>35</v>
      </c>
      <c r="V70" t="s">
        <v>74</v>
      </c>
      <c r="W70" s="2">
        <v>46307.506944444445</v>
      </c>
      <c r="X70" t="s">
        <v>39</v>
      </c>
    </row>
    <row r="71" spans="1:24" x14ac:dyDescent="0.25">
      <c r="A71" t="s">
        <v>169</v>
      </c>
      <c r="B71" t="s">
        <v>159</v>
      </c>
      <c r="C71" t="s">
        <v>124</v>
      </c>
      <c r="D71" s="1">
        <v>46307</v>
      </c>
      <c r="E71" t="s">
        <v>102</v>
      </c>
      <c r="F71" t="s">
        <v>103</v>
      </c>
      <c r="G71" t="s">
        <v>104</v>
      </c>
      <c r="H71" t="s">
        <v>105</v>
      </c>
      <c r="I71" t="s">
        <v>31</v>
      </c>
      <c r="J71" t="s">
        <v>128</v>
      </c>
      <c r="K71" t="s">
        <v>55</v>
      </c>
      <c r="L71" t="s">
        <v>67</v>
      </c>
      <c r="M71" t="s">
        <v>45</v>
      </c>
      <c r="N71">
        <v>4</v>
      </c>
      <c r="O71">
        <v>4</v>
      </c>
      <c r="P71">
        <v>4</v>
      </c>
      <c r="Q71">
        <v>5</v>
      </c>
      <c r="R71" t="s">
        <v>51</v>
      </c>
      <c r="S71">
        <v>5</v>
      </c>
      <c r="T71">
        <v>7</v>
      </c>
      <c r="U71" t="s">
        <v>45</v>
      </c>
      <c r="V71" t="s">
        <v>91</v>
      </c>
      <c r="W71" s="2">
        <v>46307.77847222222</v>
      </c>
      <c r="X71" t="s">
        <v>39</v>
      </c>
    </row>
    <row r="72" spans="1:24" x14ac:dyDescent="0.25">
      <c r="A72" t="s">
        <v>170</v>
      </c>
      <c r="B72" t="s">
        <v>171</v>
      </c>
      <c r="C72" t="s">
        <v>172</v>
      </c>
      <c r="D72" s="1">
        <v>46308</v>
      </c>
      <c r="E72" t="s">
        <v>27</v>
      </c>
      <c r="F72" t="s">
        <v>28</v>
      </c>
      <c r="G72" t="s">
        <v>49</v>
      </c>
      <c r="H72" t="s">
        <v>30</v>
      </c>
      <c r="I72" t="s">
        <v>31</v>
      </c>
      <c r="J72" t="s">
        <v>163</v>
      </c>
      <c r="K72" t="s">
        <v>55</v>
      </c>
      <c r="L72" t="s">
        <v>34</v>
      </c>
      <c r="M72" t="s">
        <v>45</v>
      </c>
      <c r="N72">
        <v>4</v>
      </c>
      <c r="O72">
        <v>5</v>
      </c>
      <c r="P72">
        <v>5</v>
      </c>
      <c r="Q72">
        <v>5</v>
      </c>
      <c r="R72" t="s">
        <v>51</v>
      </c>
      <c r="S72">
        <v>5</v>
      </c>
      <c r="T72">
        <v>10</v>
      </c>
      <c r="U72" t="s">
        <v>37</v>
      </c>
      <c r="V72" t="s">
        <v>121</v>
      </c>
      <c r="W72" s="2">
        <v>46308.611805555556</v>
      </c>
      <c r="X72" t="s">
        <v>39</v>
      </c>
    </row>
    <row r="73" spans="1:24" x14ac:dyDescent="0.25">
      <c r="A73" t="s">
        <v>173</v>
      </c>
      <c r="B73" t="s">
        <v>171</v>
      </c>
      <c r="C73" t="s">
        <v>172</v>
      </c>
      <c r="D73" s="1">
        <v>46308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  <c r="J73" t="s">
        <v>163</v>
      </c>
      <c r="K73" t="s">
        <v>138</v>
      </c>
      <c r="L73" t="s">
        <v>58</v>
      </c>
      <c r="M73" t="s">
        <v>45</v>
      </c>
      <c r="N73">
        <v>5</v>
      </c>
      <c r="O73">
        <v>4</v>
      </c>
      <c r="P73">
        <v>5</v>
      </c>
      <c r="Q73">
        <v>5</v>
      </c>
      <c r="R73" t="s">
        <v>51</v>
      </c>
      <c r="S73">
        <v>3</v>
      </c>
      <c r="T73">
        <v>8</v>
      </c>
      <c r="U73" t="s">
        <v>45</v>
      </c>
      <c r="V73" t="s">
        <v>38</v>
      </c>
      <c r="W73" s="2">
        <v>46308.623611111114</v>
      </c>
      <c r="X73" t="s">
        <v>39</v>
      </c>
    </row>
    <row r="74" spans="1:24" x14ac:dyDescent="0.25">
      <c r="A74" t="s">
        <v>174</v>
      </c>
      <c r="B74" t="s">
        <v>171</v>
      </c>
      <c r="C74" t="s">
        <v>172</v>
      </c>
      <c r="D74" s="1">
        <v>46308</v>
      </c>
      <c r="E74" t="s">
        <v>27</v>
      </c>
      <c r="F74" t="s">
        <v>28</v>
      </c>
      <c r="G74" t="s">
        <v>29</v>
      </c>
      <c r="H74" t="s">
        <v>30</v>
      </c>
      <c r="I74" t="s">
        <v>31</v>
      </c>
      <c r="J74" t="s">
        <v>107</v>
      </c>
      <c r="K74" t="s">
        <v>33</v>
      </c>
      <c r="L74" t="s">
        <v>34</v>
      </c>
      <c r="M74" t="s">
        <v>35</v>
      </c>
      <c r="N74">
        <v>5</v>
      </c>
      <c r="O74">
        <v>4</v>
      </c>
      <c r="P74">
        <v>5</v>
      </c>
      <c r="Q74">
        <v>5</v>
      </c>
      <c r="R74" t="s">
        <v>51</v>
      </c>
      <c r="S74">
        <v>5</v>
      </c>
      <c r="T74">
        <v>8</v>
      </c>
      <c r="U74" t="s">
        <v>37</v>
      </c>
      <c r="W74" s="2">
        <v>46309.763888888891</v>
      </c>
      <c r="X74" t="s">
        <v>39</v>
      </c>
    </row>
    <row r="75" spans="1:24" x14ac:dyDescent="0.25">
      <c r="A75" t="s">
        <v>175</v>
      </c>
      <c r="B75" t="s">
        <v>171</v>
      </c>
      <c r="C75" t="s">
        <v>172</v>
      </c>
      <c r="D75" s="1">
        <v>46308</v>
      </c>
      <c r="E75" t="s">
        <v>27</v>
      </c>
      <c r="F75" t="s">
        <v>28</v>
      </c>
      <c r="G75" t="s">
        <v>132</v>
      </c>
      <c r="H75" t="s">
        <v>30</v>
      </c>
      <c r="I75" t="s">
        <v>31</v>
      </c>
      <c r="J75" t="s">
        <v>98</v>
      </c>
      <c r="K75" t="s">
        <v>65</v>
      </c>
      <c r="L75" t="s">
        <v>44</v>
      </c>
      <c r="M75" t="s">
        <v>45</v>
      </c>
      <c r="N75">
        <v>5</v>
      </c>
      <c r="O75">
        <v>4</v>
      </c>
      <c r="P75">
        <v>5</v>
      </c>
      <c r="Q75">
        <v>5</v>
      </c>
      <c r="R75" t="s">
        <v>46</v>
      </c>
      <c r="S75">
        <v>4</v>
      </c>
      <c r="T75">
        <v>8</v>
      </c>
      <c r="U75" t="s">
        <v>37</v>
      </c>
      <c r="V75" t="s">
        <v>59</v>
      </c>
      <c r="W75" s="2">
        <v>46309.788194444445</v>
      </c>
      <c r="X75" t="s">
        <v>39</v>
      </c>
    </row>
    <row r="76" spans="1:24" x14ac:dyDescent="0.25">
      <c r="A76" t="s">
        <v>176</v>
      </c>
      <c r="B76" t="s">
        <v>171</v>
      </c>
      <c r="C76" t="s">
        <v>172</v>
      </c>
      <c r="D76" s="1">
        <v>46308</v>
      </c>
      <c r="E76" t="s">
        <v>27</v>
      </c>
      <c r="F76" t="s">
        <v>28</v>
      </c>
      <c r="G76" t="s">
        <v>54</v>
      </c>
      <c r="H76" t="s">
        <v>30</v>
      </c>
      <c r="I76" t="s">
        <v>31</v>
      </c>
      <c r="J76" t="s">
        <v>94</v>
      </c>
      <c r="K76" t="s">
        <v>55</v>
      </c>
      <c r="L76" t="s">
        <v>44</v>
      </c>
      <c r="M76" t="s">
        <v>45</v>
      </c>
      <c r="N76">
        <v>5</v>
      </c>
      <c r="O76">
        <v>5</v>
      </c>
      <c r="P76">
        <v>5</v>
      </c>
      <c r="Q76">
        <v>5</v>
      </c>
      <c r="R76" t="s">
        <v>36</v>
      </c>
      <c r="S76">
        <v>3</v>
      </c>
      <c r="T76">
        <v>10</v>
      </c>
      <c r="U76" t="s">
        <v>45</v>
      </c>
      <c r="W76" s="2">
        <v>46308.554861111108</v>
      </c>
      <c r="X76" t="s">
        <v>39</v>
      </c>
    </row>
    <row r="77" spans="1:24" x14ac:dyDescent="0.25">
      <c r="A77" t="s">
        <v>177</v>
      </c>
      <c r="B77" t="s">
        <v>171</v>
      </c>
      <c r="C77" t="s">
        <v>172</v>
      </c>
      <c r="D77" s="1">
        <v>46308</v>
      </c>
      <c r="E77" t="s">
        <v>27</v>
      </c>
      <c r="F77" t="s">
        <v>28</v>
      </c>
      <c r="G77" t="s">
        <v>49</v>
      </c>
      <c r="H77" t="s">
        <v>30</v>
      </c>
      <c r="I77" t="s">
        <v>31</v>
      </c>
      <c r="J77" t="s">
        <v>107</v>
      </c>
      <c r="K77" t="s">
        <v>33</v>
      </c>
      <c r="L77" t="s">
        <v>58</v>
      </c>
      <c r="M77" t="s">
        <v>45</v>
      </c>
      <c r="N77">
        <v>5</v>
      </c>
      <c r="P77">
        <v>3</v>
      </c>
      <c r="Q77">
        <v>3</v>
      </c>
      <c r="R77" t="s">
        <v>51</v>
      </c>
      <c r="S77">
        <v>3</v>
      </c>
      <c r="T77">
        <v>6</v>
      </c>
      <c r="U77" t="s">
        <v>37</v>
      </c>
      <c r="V77" t="s">
        <v>59</v>
      </c>
      <c r="W77" s="2">
        <v>46308.629861111112</v>
      </c>
      <c r="X77" t="s">
        <v>39</v>
      </c>
    </row>
    <row r="78" spans="1:24" x14ac:dyDescent="0.25">
      <c r="A78" t="s">
        <v>178</v>
      </c>
      <c r="B78" t="s">
        <v>171</v>
      </c>
      <c r="C78" t="s">
        <v>172</v>
      </c>
      <c r="D78" s="1">
        <v>46308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t="s">
        <v>128</v>
      </c>
      <c r="K78" t="s">
        <v>65</v>
      </c>
      <c r="L78" t="s">
        <v>58</v>
      </c>
      <c r="M78" t="s">
        <v>45</v>
      </c>
      <c r="N78">
        <v>5</v>
      </c>
      <c r="O78">
        <v>4</v>
      </c>
      <c r="P78">
        <v>3</v>
      </c>
      <c r="Q78">
        <v>5</v>
      </c>
      <c r="R78" t="s">
        <v>51</v>
      </c>
      <c r="S78">
        <v>5</v>
      </c>
      <c r="T78">
        <v>8</v>
      </c>
      <c r="U78" t="s">
        <v>45</v>
      </c>
      <c r="V78" t="s">
        <v>62</v>
      </c>
      <c r="W78" s="2">
        <v>46310.513194444444</v>
      </c>
      <c r="X78" t="s">
        <v>39</v>
      </c>
    </row>
    <row r="79" spans="1:24" x14ac:dyDescent="0.25">
      <c r="A79" t="s">
        <v>179</v>
      </c>
      <c r="B79" t="s">
        <v>171</v>
      </c>
      <c r="C79" t="s">
        <v>172</v>
      </c>
      <c r="D79" s="1">
        <v>46308</v>
      </c>
      <c r="E79" t="s">
        <v>27</v>
      </c>
      <c r="F79" t="s">
        <v>28</v>
      </c>
      <c r="G79" t="s">
        <v>29</v>
      </c>
      <c r="H79" t="s">
        <v>30</v>
      </c>
      <c r="I79" t="s">
        <v>31</v>
      </c>
      <c r="J79" t="s">
        <v>98</v>
      </c>
      <c r="K79" t="s">
        <v>43</v>
      </c>
      <c r="L79" t="s">
        <v>44</v>
      </c>
      <c r="M79" t="s">
        <v>45</v>
      </c>
      <c r="N79">
        <v>2</v>
      </c>
      <c r="O79">
        <v>3</v>
      </c>
      <c r="P79">
        <v>2</v>
      </c>
      <c r="Q79">
        <v>3</v>
      </c>
      <c r="R79" t="s">
        <v>51</v>
      </c>
      <c r="S79">
        <v>5</v>
      </c>
      <c r="T79">
        <v>4</v>
      </c>
      <c r="U79" t="s">
        <v>45</v>
      </c>
      <c r="V79" t="s">
        <v>47</v>
      </c>
      <c r="W79" s="2">
        <v>46309.590277777781</v>
      </c>
      <c r="X79" t="s">
        <v>39</v>
      </c>
    </row>
    <row r="80" spans="1:24" x14ac:dyDescent="0.25">
      <c r="A80" t="s">
        <v>180</v>
      </c>
      <c r="B80" t="s">
        <v>171</v>
      </c>
      <c r="C80" t="s">
        <v>172</v>
      </c>
      <c r="D80" s="1">
        <v>46308</v>
      </c>
      <c r="E80" t="s">
        <v>27</v>
      </c>
      <c r="F80" t="s">
        <v>28</v>
      </c>
      <c r="G80" t="s">
        <v>49</v>
      </c>
      <c r="H80" t="s">
        <v>30</v>
      </c>
      <c r="I80" t="s">
        <v>31</v>
      </c>
      <c r="J80" t="s">
        <v>42</v>
      </c>
      <c r="K80" t="s">
        <v>65</v>
      </c>
      <c r="L80" t="s">
        <v>72</v>
      </c>
      <c r="M80" t="s">
        <v>45</v>
      </c>
      <c r="N80">
        <v>4</v>
      </c>
      <c r="P80">
        <v>5</v>
      </c>
      <c r="Q80">
        <v>4</v>
      </c>
      <c r="R80" t="s">
        <v>51</v>
      </c>
      <c r="S80">
        <v>4</v>
      </c>
      <c r="T80">
        <v>9</v>
      </c>
      <c r="U80" t="s">
        <v>45</v>
      </c>
      <c r="V80" t="s">
        <v>125</v>
      </c>
      <c r="W80" s="2">
        <v>46309.563194444447</v>
      </c>
      <c r="X80" t="s">
        <v>39</v>
      </c>
    </row>
    <row r="81" spans="1:24" x14ac:dyDescent="0.25">
      <c r="A81" t="s">
        <v>181</v>
      </c>
      <c r="B81" t="s">
        <v>171</v>
      </c>
      <c r="C81" t="s">
        <v>172</v>
      </c>
      <c r="D81" s="1">
        <v>46308</v>
      </c>
      <c r="E81" t="s">
        <v>27</v>
      </c>
      <c r="F81" t="s">
        <v>28</v>
      </c>
      <c r="G81" t="s">
        <v>49</v>
      </c>
      <c r="H81" t="s">
        <v>30</v>
      </c>
      <c r="I81" t="s">
        <v>31</v>
      </c>
      <c r="J81" t="s">
        <v>42</v>
      </c>
      <c r="K81" t="s">
        <v>33</v>
      </c>
      <c r="L81" t="s">
        <v>72</v>
      </c>
      <c r="M81" t="s">
        <v>45</v>
      </c>
      <c r="N81">
        <v>5</v>
      </c>
      <c r="O81">
        <v>5</v>
      </c>
      <c r="Q81">
        <v>5</v>
      </c>
      <c r="R81" t="s">
        <v>51</v>
      </c>
      <c r="S81">
        <v>3</v>
      </c>
      <c r="T81">
        <v>10</v>
      </c>
      <c r="U81" t="s">
        <v>45</v>
      </c>
      <c r="W81" s="2">
        <v>46310.591666666667</v>
      </c>
      <c r="X81" t="s">
        <v>39</v>
      </c>
    </row>
    <row r="82" spans="1:24" x14ac:dyDescent="0.25">
      <c r="A82" t="s">
        <v>182</v>
      </c>
      <c r="B82" t="s">
        <v>171</v>
      </c>
      <c r="C82" t="s">
        <v>172</v>
      </c>
      <c r="D82" s="1">
        <v>46308</v>
      </c>
      <c r="E82" t="s">
        <v>27</v>
      </c>
      <c r="F82" t="s">
        <v>28</v>
      </c>
      <c r="G82" t="s">
        <v>41</v>
      </c>
      <c r="H82" t="s">
        <v>30</v>
      </c>
      <c r="I82" t="s">
        <v>31</v>
      </c>
      <c r="J82" t="s">
        <v>50</v>
      </c>
      <c r="K82" t="s">
        <v>138</v>
      </c>
      <c r="L82" t="s">
        <v>72</v>
      </c>
      <c r="M82" t="s">
        <v>45</v>
      </c>
      <c r="N82">
        <v>4</v>
      </c>
      <c r="O82">
        <v>3</v>
      </c>
      <c r="P82">
        <v>4</v>
      </c>
      <c r="Q82">
        <v>4</v>
      </c>
      <c r="R82" t="s">
        <v>51</v>
      </c>
      <c r="S82">
        <v>5</v>
      </c>
      <c r="T82">
        <v>7</v>
      </c>
      <c r="U82" t="s">
        <v>35</v>
      </c>
      <c r="W82" s="2">
        <v>46308.491666666669</v>
      </c>
      <c r="X82" t="s">
        <v>39</v>
      </c>
    </row>
    <row r="83" spans="1:24" x14ac:dyDescent="0.25">
      <c r="A83" t="s">
        <v>183</v>
      </c>
      <c r="B83" t="s">
        <v>171</v>
      </c>
      <c r="C83" t="s">
        <v>172</v>
      </c>
      <c r="D83" s="1">
        <v>46308</v>
      </c>
      <c r="E83" t="s">
        <v>27</v>
      </c>
      <c r="F83" t="s">
        <v>28</v>
      </c>
      <c r="G83" t="s">
        <v>49</v>
      </c>
      <c r="H83" t="s">
        <v>30</v>
      </c>
      <c r="I83" t="s">
        <v>31</v>
      </c>
      <c r="J83" t="s">
        <v>61</v>
      </c>
      <c r="K83" t="s">
        <v>33</v>
      </c>
      <c r="L83" t="s">
        <v>44</v>
      </c>
      <c r="M83" t="s">
        <v>45</v>
      </c>
      <c r="N83">
        <v>5</v>
      </c>
      <c r="O83">
        <v>5</v>
      </c>
      <c r="P83">
        <v>5</v>
      </c>
      <c r="Q83">
        <v>5</v>
      </c>
      <c r="R83" t="s">
        <v>46</v>
      </c>
      <c r="S83">
        <v>4</v>
      </c>
      <c r="T83">
        <v>10</v>
      </c>
      <c r="U83" t="s">
        <v>35</v>
      </c>
      <c r="V83" t="s">
        <v>74</v>
      </c>
      <c r="W83" s="2">
        <v>46308.597916666666</v>
      </c>
      <c r="X83" t="s">
        <v>39</v>
      </c>
    </row>
    <row r="84" spans="1:24" x14ac:dyDescent="0.25">
      <c r="A84" t="s">
        <v>184</v>
      </c>
      <c r="B84" t="s">
        <v>171</v>
      </c>
      <c r="C84" t="s">
        <v>172</v>
      </c>
      <c r="D84" s="1">
        <v>46308</v>
      </c>
      <c r="E84" t="s">
        <v>27</v>
      </c>
      <c r="F84" t="s">
        <v>28</v>
      </c>
      <c r="G84" t="s">
        <v>132</v>
      </c>
      <c r="H84" t="s">
        <v>30</v>
      </c>
      <c r="I84" t="s">
        <v>31</v>
      </c>
      <c r="J84" t="s">
        <v>50</v>
      </c>
      <c r="K84" t="s">
        <v>55</v>
      </c>
      <c r="L84" t="s">
        <v>58</v>
      </c>
      <c r="M84" t="s">
        <v>35</v>
      </c>
      <c r="N84">
        <v>3</v>
      </c>
      <c r="O84">
        <v>3</v>
      </c>
      <c r="P84">
        <v>3</v>
      </c>
      <c r="Q84">
        <v>3</v>
      </c>
      <c r="R84" t="s">
        <v>46</v>
      </c>
      <c r="S84">
        <v>4</v>
      </c>
      <c r="T84">
        <v>5</v>
      </c>
      <c r="U84" t="s">
        <v>37</v>
      </c>
      <c r="V84" t="s">
        <v>47</v>
      </c>
      <c r="W84" s="2">
        <v>46309.240972222222</v>
      </c>
      <c r="X84" t="s">
        <v>39</v>
      </c>
    </row>
    <row r="85" spans="1:24" x14ac:dyDescent="0.25">
      <c r="A85" t="s">
        <v>185</v>
      </c>
      <c r="B85" t="s">
        <v>186</v>
      </c>
      <c r="C85" t="s">
        <v>172</v>
      </c>
      <c r="D85" s="1">
        <v>46309</v>
      </c>
      <c r="E85" t="s">
        <v>77</v>
      </c>
      <c r="F85" t="s">
        <v>78</v>
      </c>
      <c r="G85" t="s">
        <v>85</v>
      </c>
      <c r="H85" t="s">
        <v>80</v>
      </c>
      <c r="I85" t="s">
        <v>31</v>
      </c>
      <c r="J85" t="s">
        <v>163</v>
      </c>
      <c r="K85" t="s">
        <v>43</v>
      </c>
      <c r="L85" t="s">
        <v>44</v>
      </c>
      <c r="M85" t="s">
        <v>45</v>
      </c>
      <c r="N85">
        <v>4</v>
      </c>
      <c r="O85">
        <v>5</v>
      </c>
      <c r="P85">
        <v>4</v>
      </c>
      <c r="Q85">
        <v>5</v>
      </c>
      <c r="R85" t="s">
        <v>36</v>
      </c>
      <c r="S85">
        <v>4</v>
      </c>
      <c r="T85">
        <v>9</v>
      </c>
      <c r="U85" t="s">
        <v>37</v>
      </c>
      <c r="W85" s="2">
        <v>46311.531944444447</v>
      </c>
      <c r="X85" t="s">
        <v>39</v>
      </c>
    </row>
    <row r="86" spans="1:24" x14ac:dyDescent="0.25">
      <c r="A86" t="s">
        <v>187</v>
      </c>
      <c r="B86" t="s">
        <v>186</v>
      </c>
      <c r="C86" t="s">
        <v>172</v>
      </c>
      <c r="D86" s="1">
        <v>46309</v>
      </c>
      <c r="E86" t="s">
        <v>77</v>
      </c>
      <c r="F86" t="s">
        <v>78</v>
      </c>
      <c r="G86" t="s">
        <v>79</v>
      </c>
      <c r="H86" t="s">
        <v>80</v>
      </c>
      <c r="I86" t="s">
        <v>31</v>
      </c>
      <c r="J86" t="s">
        <v>50</v>
      </c>
      <c r="K86" t="s">
        <v>138</v>
      </c>
      <c r="L86" t="s">
        <v>72</v>
      </c>
      <c r="M86" t="s">
        <v>45</v>
      </c>
      <c r="N86">
        <v>4</v>
      </c>
      <c r="O86">
        <v>5</v>
      </c>
      <c r="P86">
        <v>5</v>
      </c>
      <c r="Q86">
        <v>5</v>
      </c>
      <c r="R86" t="s">
        <v>46</v>
      </c>
      <c r="S86">
        <v>3</v>
      </c>
      <c r="T86">
        <v>10</v>
      </c>
      <c r="U86" t="s">
        <v>37</v>
      </c>
      <c r="V86" t="s">
        <v>38</v>
      </c>
      <c r="W86" s="2">
        <v>46311.554166666669</v>
      </c>
      <c r="X86" t="s">
        <v>39</v>
      </c>
    </row>
    <row r="87" spans="1:24" x14ac:dyDescent="0.25">
      <c r="A87" t="s">
        <v>188</v>
      </c>
      <c r="B87" t="s">
        <v>186</v>
      </c>
      <c r="C87" t="s">
        <v>172</v>
      </c>
      <c r="D87" s="1">
        <v>46309</v>
      </c>
      <c r="E87" t="s">
        <v>77</v>
      </c>
      <c r="F87" t="s">
        <v>78</v>
      </c>
      <c r="G87" t="s">
        <v>85</v>
      </c>
      <c r="H87" t="s">
        <v>80</v>
      </c>
      <c r="I87" t="s">
        <v>31</v>
      </c>
      <c r="J87" t="s">
        <v>128</v>
      </c>
      <c r="K87" t="s">
        <v>55</v>
      </c>
      <c r="L87" t="s">
        <v>58</v>
      </c>
      <c r="M87" t="s">
        <v>45</v>
      </c>
      <c r="N87">
        <v>1</v>
      </c>
      <c r="O87">
        <v>2</v>
      </c>
      <c r="P87">
        <v>1</v>
      </c>
      <c r="Q87">
        <v>2</v>
      </c>
      <c r="R87" t="s">
        <v>46</v>
      </c>
      <c r="S87">
        <v>2</v>
      </c>
      <c r="T87">
        <v>4</v>
      </c>
      <c r="U87" t="s">
        <v>45</v>
      </c>
      <c r="V87" t="s">
        <v>189</v>
      </c>
      <c r="W87" s="2">
        <v>46310.525694444441</v>
      </c>
      <c r="X87" t="s">
        <v>39</v>
      </c>
    </row>
    <row r="88" spans="1:24" x14ac:dyDescent="0.25">
      <c r="A88" t="s">
        <v>190</v>
      </c>
      <c r="B88" t="s">
        <v>186</v>
      </c>
      <c r="C88" t="s">
        <v>172</v>
      </c>
      <c r="D88" s="1">
        <v>46309</v>
      </c>
      <c r="E88" t="s">
        <v>77</v>
      </c>
      <c r="F88" t="s">
        <v>78</v>
      </c>
      <c r="G88" t="s">
        <v>83</v>
      </c>
      <c r="H88" t="s">
        <v>80</v>
      </c>
      <c r="I88" t="s">
        <v>31</v>
      </c>
      <c r="J88" t="s">
        <v>98</v>
      </c>
      <c r="K88" t="s">
        <v>43</v>
      </c>
      <c r="L88" t="s">
        <v>44</v>
      </c>
      <c r="M88" t="s">
        <v>45</v>
      </c>
      <c r="O88">
        <v>2</v>
      </c>
      <c r="P88">
        <v>3</v>
      </c>
      <c r="Q88">
        <v>1</v>
      </c>
      <c r="R88" t="s">
        <v>51</v>
      </c>
      <c r="S88">
        <v>1</v>
      </c>
      <c r="T88">
        <v>5</v>
      </c>
      <c r="U88" t="s">
        <v>35</v>
      </c>
      <c r="V88" t="s">
        <v>191</v>
      </c>
      <c r="W88" s="2">
        <v>46309.7</v>
      </c>
      <c r="X88" t="s">
        <v>39</v>
      </c>
    </row>
    <row r="89" spans="1:24" x14ac:dyDescent="0.25">
      <c r="A89" t="s">
        <v>192</v>
      </c>
      <c r="B89" t="s">
        <v>186</v>
      </c>
      <c r="C89" t="s">
        <v>172</v>
      </c>
      <c r="D89" s="1">
        <v>46309</v>
      </c>
      <c r="E89" t="s">
        <v>77</v>
      </c>
      <c r="F89" t="s">
        <v>78</v>
      </c>
      <c r="G89" t="s">
        <v>83</v>
      </c>
      <c r="H89" t="s">
        <v>80</v>
      </c>
      <c r="I89" t="s">
        <v>31</v>
      </c>
      <c r="J89" t="s">
        <v>61</v>
      </c>
      <c r="K89" t="s">
        <v>43</v>
      </c>
      <c r="L89" t="s">
        <v>58</v>
      </c>
      <c r="M89" t="s">
        <v>45</v>
      </c>
      <c r="N89">
        <v>4</v>
      </c>
      <c r="O89">
        <v>4</v>
      </c>
      <c r="P89">
        <v>4</v>
      </c>
      <c r="Q89">
        <v>4</v>
      </c>
      <c r="R89" t="s">
        <v>36</v>
      </c>
      <c r="S89">
        <v>4</v>
      </c>
      <c r="T89">
        <v>7</v>
      </c>
      <c r="U89" t="s">
        <v>45</v>
      </c>
      <c r="V89" t="s">
        <v>59</v>
      </c>
      <c r="W89" s="2">
        <v>46309.770138888889</v>
      </c>
      <c r="X89" t="s">
        <v>39</v>
      </c>
    </row>
    <row r="90" spans="1:24" x14ac:dyDescent="0.25">
      <c r="A90" t="s">
        <v>193</v>
      </c>
      <c r="B90" t="s">
        <v>186</v>
      </c>
      <c r="C90" t="s">
        <v>172</v>
      </c>
      <c r="D90" s="1">
        <v>46309</v>
      </c>
      <c r="E90" t="s">
        <v>77</v>
      </c>
      <c r="F90" t="s">
        <v>78</v>
      </c>
      <c r="G90" t="s">
        <v>79</v>
      </c>
      <c r="H90" t="s">
        <v>80</v>
      </c>
      <c r="I90" t="s">
        <v>31</v>
      </c>
      <c r="J90" t="s">
        <v>32</v>
      </c>
      <c r="K90" t="s">
        <v>55</v>
      </c>
      <c r="L90" t="s">
        <v>58</v>
      </c>
      <c r="M90" t="s">
        <v>45</v>
      </c>
      <c r="N90">
        <v>4</v>
      </c>
      <c r="O90">
        <v>5</v>
      </c>
      <c r="Q90">
        <v>4</v>
      </c>
      <c r="R90" t="s">
        <v>51</v>
      </c>
      <c r="S90">
        <v>4</v>
      </c>
      <c r="T90">
        <v>8</v>
      </c>
      <c r="U90" t="s">
        <v>37</v>
      </c>
      <c r="V90" t="s">
        <v>62</v>
      </c>
      <c r="W90" s="2">
        <v>46311.378472222219</v>
      </c>
      <c r="X90" t="s">
        <v>39</v>
      </c>
    </row>
    <row r="91" spans="1:24" x14ac:dyDescent="0.25">
      <c r="A91" t="s">
        <v>194</v>
      </c>
      <c r="B91" t="s">
        <v>186</v>
      </c>
      <c r="C91" t="s">
        <v>172</v>
      </c>
      <c r="D91" s="1">
        <v>46309</v>
      </c>
      <c r="E91" t="s">
        <v>77</v>
      </c>
      <c r="F91" t="s">
        <v>78</v>
      </c>
      <c r="G91" t="s">
        <v>85</v>
      </c>
      <c r="H91" t="s">
        <v>80</v>
      </c>
      <c r="I91" t="s">
        <v>31</v>
      </c>
      <c r="J91" t="s">
        <v>86</v>
      </c>
      <c r="K91" t="s">
        <v>65</v>
      </c>
      <c r="L91" t="s">
        <v>58</v>
      </c>
      <c r="M91" t="s">
        <v>45</v>
      </c>
      <c r="N91">
        <v>3</v>
      </c>
      <c r="O91">
        <v>2</v>
      </c>
      <c r="P91">
        <v>3</v>
      </c>
      <c r="Q91">
        <v>2</v>
      </c>
      <c r="R91" t="s">
        <v>36</v>
      </c>
      <c r="S91">
        <v>3</v>
      </c>
      <c r="T91">
        <v>4</v>
      </c>
      <c r="U91" t="s">
        <v>45</v>
      </c>
      <c r="V91" t="s">
        <v>108</v>
      </c>
      <c r="W91" s="2">
        <v>46311.513888888891</v>
      </c>
      <c r="X91" t="s">
        <v>39</v>
      </c>
    </row>
    <row r="92" spans="1:24" x14ac:dyDescent="0.25">
      <c r="A92" t="s">
        <v>195</v>
      </c>
      <c r="B92" t="s">
        <v>186</v>
      </c>
      <c r="C92" t="s">
        <v>172</v>
      </c>
      <c r="D92" s="1">
        <v>46309</v>
      </c>
      <c r="E92" t="s">
        <v>77</v>
      </c>
      <c r="F92" t="s">
        <v>78</v>
      </c>
      <c r="G92" t="s">
        <v>85</v>
      </c>
      <c r="H92" t="s">
        <v>80</v>
      </c>
      <c r="I92" t="s">
        <v>31</v>
      </c>
      <c r="J92" t="s">
        <v>61</v>
      </c>
      <c r="K92" t="s">
        <v>138</v>
      </c>
      <c r="L92" t="s">
        <v>67</v>
      </c>
      <c r="M92" t="s">
        <v>45</v>
      </c>
      <c r="N92">
        <v>5</v>
      </c>
      <c r="O92">
        <v>4</v>
      </c>
      <c r="P92">
        <v>5</v>
      </c>
      <c r="Q92">
        <v>5</v>
      </c>
      <c r="R92" t="s">
        <v>51</v>
      </c>
      <c r="S92">
        <v>4</v>
      </c>
      <c r="T92">
        <v>8</v>
      </c>
      <c r="U92" t="s">
        <v>45</v>
      </c>
      <c r="V92" t="s">
        <v>121</v>
      </c>
      <c r="W92" s="2">
        <v>46310.599305555559</v>
      </c>
      <c r="X92" t="s">
        <v>39</v>
      </c>
    </row>
    <row r="93" spans="1:24" x14ac:dyDescent="0.25">
      <c r="A93" t="s">
        <v>196</v>
      </c>
      <c r="B93" t="s">
        <v>186</v>
      </c>
      <c r="C93" t="s">
        <v>172</v>
      </c>
      <c r="D93" s="1">
        <v>46309</v>
      </c>
      <c r="E93" t="s">
        <v>77</v>
      </c>
      <c r="F93" t="s">
        <v>78</v>
      </c>
      <c r="G93" t="s">
        <v>79</v>
      </c>
      <c r="H93" t="s">
        <v>80</v>
      </c>
      <c r="I93" t="s">
        <v>31</v>
      </c>
      <c r="J93" t="s">
        <v>128</v>
      </c>
      <c r="K93" t="s">
        <v>138</v>
      </c>
      <c r="L93" t="s">
        <v>34</v>
      </c>
      <c r="M93" t="s">
        <v>35</v>
      </c>
      <c r="N93">
        <v>5</v>
      </c>
      <c r="O93">
        <v>4</v>
      </c>
      <c r="P93">
        <v>4</v>
      </c>
      <c r="Q93">
        <v>4</v>
      </c>
      <c r="R93" t="s">
        <v>51</v>
      </c>
      <c r="S93">
        <v>3</v>
      </c>
      <c r="T93">
        <v>8</v>
      </c>
      <c r="U93" t="s">
        <v>45</v>
      </c>
      <c r="V93" t="s">
        <v>62</v>
      </c>
      <c r="W93" s="2">
        <v>46310.779861111114</v>
      </c>
      <c r="X93" t="s">
        <v>39</v>
      </c>
    </row>
    <row r="94" spans="1:24" x14ac:dyDescent="0.25">
      <c r="A94" t="s">
        <v>197</v>
      </c>
      <c r="B94" t="s">
        <v>186</v>
      </c>
      <c r="C94" t="s">
        <v>172</v>
      </c>
      <c r="D94" s="1">
        <v>46309</v>
      </c>
      <c r="E94" t="s">
        <v>77</v>
      </c>
      <c r="F94" t="s">
        <v>78</v>
      </c>
      <c r="G94" t="s">
        <v>79</v>
      </c>
      <c r="H94" t="s">
        <v>80</v>
      </c>
      <c r="I94" t="s">
        <v>31</v>
      </c>
      <c r="J94" t="s">
        <v>50</v>
      </c>
      <c r="K94" t="s">
        <v>33</v>
      </c>
      <c r="L94" t="s">
        <v>72</v>
      </c>
      <c r="M94" t="s">
        <v>45</v>
      </c>
      <c r="N94">
        <v>3</v>
      </c>
      <c r="O94">
        <v>3</v>
      </c>
      <c r="P94">
        <v>3</v>
      </c>
      <c r="R94" t="s">
        <v>46</v>
      </c>
      <c r="S94">
        <v>5</v>
      </c>
      <c r="T94">
        <v>6</v>
      </c>
      <c r="U94" t="s">
        <v>45</v>
      </c>
      <c r="W94" s="2">
        <v>46311.520138888889</v>
      </c>
      <c r="X94" t="s">
        <v>39</v>
      </c>
    </row>
    <row r="95" spans="1:24" x14ac:dyDescent="0.25">
      <c r="A95" t="s">
        <v>198</v>
      </c>
      <c r="B95" t="s">
        <v>186</v>
      </c>
      <c r="C95" t="s">
        <v>172</v>
      </c>
      <c r="D95" s="1">
        <v>46309</v>
      </c>
      <c r="E95" t="s">
        <v>77</v>
      </c>
      <c r="F95" t="s">
        <v>78</v>
      </c>
      <c r="G95" t="s">
        <v>83</v>
      </c>
      <c r="H95" t="s">
        <v>80</v>
      </c>
      <c r="I95" t="s">
        <v>31</v>
      </c>
      <c r="J95" t="s">
        <v>32</v>
      </c>
      <c r="K95" t="s">
        <v>33</v>
      </c>
      <c r="L95" t="s">
        <v>44</v>
      </c>
      <c r="M95" t="s">
        <v>45</v>
      </c>
      <c r="N95">
        <v>2</v>
      </c>
      <c r="O95">
        <v>3</v>
      </c>
      <c r="P95">
        <v>3</v>
      </c>
      <c r="Q95">
        <v>2</v>
      </c>
      <c r="R95" t="s">
        <v>36</v>
      </c>
      <c r="S95">
        <v>5</v>
      </c>
      <c r="T95">
        <v>4</v>
      </c>
      <c r="U95" t="s">
        <v>45</v>
      </c>
      <c r="V95" t="s">
        <v>130</v>
      </c>
      <c r="W95" s="2">
        <v>46310.359722222223</v>
      </c>
      <c r="X95" t="s">
        <v>39</v>
      </c>
    </row>
    <row r="96" spans="1:24" x14ac:dyDescent="0.25">
      <c r="A96" t="s">
        <v>199</v>
      </c>
      <c r="B96" t="s">
        <v>186</v>
      </c>
      <c r="C96" t="s">
        <v>172</v>
      </c>
      <c r="D96" s="1">
        <v>46309</v>
      </c>
      <c r="E96" t="s">
        <v>77</v>
      </c>
      <c r="F96" t="s">
        <v>78</v>
      </c>
      <c r="G96" t="s">
        <v>85</v>
      </c>
      <c r="H96" t="s">
        <v>80</v>
      </c>
      <c r="I96" t="s">
        <v>31</v>
      </c>
      <c r="J96" t="s">
        <v>32</v>
      </c>
      <c r="K96" t="s">
        <v>138</v>
      </c>
      <c r="L96" t="s">
        <v>72</v>
      </c>
      <c r="M96" t="s">
        <v>45</v>
      </c>
      <c r="N96">
        <v>5</v>
      </c>
      <c r="O96">
        <v>5</v>
      </c>
      <c r="P96">
        <v>4</v>
      </c>
      <c r="Q96">
        <v>5</v>
      </c>
      <c r="R96" t="s">
        <v>46</v>
      </c>
      <c r="S96">
        <v>5</v>
      </c>
      <c r="T96">
        <v>8</v>
      </c>
      <c r="U96" t="s">
        <v>45</v>
      </c>
      <c r="V96" t="s">
        <v>147</v>
      </c>
      <c r="W96" s="2">
        <v>46310.25277777778</v>
      </c>
      <c r="X96" t="s">
        <v>39</v>
      </c>
    </row>
    <row r="97" spans="1:24" x14ac:dyDescent="0.25">
      <c r="A97" t="s">
        <v>200</v>
      </c>
      <c r="B97" t="s">
        <v>201</v>
      </c>
      <c r="C97" t="s">
        <v>172</v>
      </c>
      <c r="D97" s="1">
        <v>46310</v>
      </c>
      <c r="E97" t="s">
        <v>102</v>
      </c>
      <c r="F97" t="s">
        <v>103</v>
      </c>
      <c r="G97" t="s">
        <v>112</v>
      </c>
      <c r="H97" t="s">
        <v>105</v>
      </c>
      <c r="I97" t="s">
        <v>31</v>
      </c>
      <c r="J97" t="s">
        <v>64</v>
      </c>
      <c r="K97" t="s">
        <v>55</v>
      </c>
      <c r="L97" t="s">
        <v>67</v>
      </c>
      <c r="M97" t="s">
        <v>35</v>
      </c>
      <c r="N97">
        <v>5</v>
      </c>
      <c r="O97">
        <v>5</v>
      </c>
      <c r="P97">
        <v>5</v>
      </c>
      <c r="Q97">
        <v>5</v>
      </c>
      <c r="R97" t="s">
        <v>36</v>
      </c>
      <c r="S97">
        <v>4</v>
      </c>
      <c r="T97">
        <v>10</v>
      </c>
      <c r="U97" t="s">
        <v>45</v>
      </c>
      <c r="V97" t="s">
        <v>59</v>
      </c>
      <c r="W97" s="2">
        <v>46312.445833333331</v>
      </c>
      <c r="X97" t="s">
        <v>39</v>
      </c>
    </row>
    <row r="98" spans="1:24" x14ac:dyDescent="0.25">
      <c r="A98" t="s">
        <v>202</v>
      </c>
      <c r="B98" t="s">
        <v>201</v>
      </c>
      <c r="C98" t="s">
        <v>172</v>
      </c>
      <c r="D98" s="1">
        <v>46310</v>
      </c>
      <c r="E98" t="s">
        <v>102</v>
      </c>
      <c r="F98" t="s">
        <v>103</v>
      </c>
      <c r="G98" t="s">
        <v>110</v>
      </c>
      <c r="H98" t="s">
        <v>105</v>
      </c>
      <c r="I98" t="s">
        <v>31</v>
      </c>
      <c r="J98" t="s">
        <v>32</v>
      </c>
      <c r="K98" t="s">
        <v>65</v>
      </c>
      <c r="L98" t="s">
        <v>58</v>
      </c>
      <c r="M98" t="s">
        <v>45</v>
      </c>
      <c r="N98">
        <v>5</v>
      </c>
      <c r="O98">
        <v>4</v>
      </c>
      <c r="P98">
        <v>5</v>
      </c>
      <c r="R98" t="s">
        <v>46</v>
      </c>
      <c r="S98">
        <v>5</v>
      </c>
      <c r="T98">
        <v>10</v>
      </c>
      <c r="U98" t="s">
        <v>45</v>
      </c>
      <c r="V98" t="s">
        <v>95</v>
      </c>
      <c r="W98" s="2">
        <v>46310.724305555559</v>
      </c>
      <c r="X98" t="s">
        <v>39</v>
      </c>
    </row>
    <row r="99" spans="1:24" x14ac:dyDescent="0.25">
      <c r="A99" t="s">
        <v>203</v>
      </c>
      <c r="B99" t="s">
        <v>201</v>
      </c>
      <c r="C99" t="s">
        <v>172</v>
      </c>
      <c r="D99" s="1">
        <v>46310</v>
      </c>
      <c r="E99" t="s">
        <v>102</v>
      </c>
      <c r="F99" t="s">
        <v>103</v>
      </c>
      <c r="G99" t="s">
        <v>112</v>
      </c>
      <c r="H99" t="s">
        <v>105</v>
      </c>
      <c r="I99" t="s">
        <v>31</v>
      </c>
      <c r="J99" t="s">
        <v>81</v>
      </c>
      <c r="K99" t="s">
        <v>138</v>
      </c>
      <c r="L99" t="s">
        <v>67</v>
      </c>
      <c r="M99" t="s">
        <v>45</v>
      </c>
      <c r="N99">
        <v>5</v>
      </c>
      <c r="O99">
        <v>5</v>
      </c>
      <c r="P99">
        <v>4</v>
      </c>
      <c r="Q99">
        <v>5</v>
      </c>
      <c r="R99" t="s">
        <v>51</v>
      </c>
      <c r="S99">
        <v>5</v>
      </c>
      <c r="T99">
        <v>10</v>
      </c>
      <c r="U99" t="s">
        <v>37</v>
      </c>
      <c r="V99" t="s">
        <v>52</v>
      </c>
      <c r="W99" s="2">
        <v>46311.536111111112</v>
      </c>
      <c r="X99" t="s">
        <v>39</v>
      </c>
    </row>
    <row r="100" spans="1:24" x14ac:dyDescent="0.25">
      <c r="A100" t="s">
        <v>204</v>
      </c>
      <c r="B100" t="s">
        <v>201</v>
      </c>
      <c r="C100" t="s">
        <v>172</v>
      </c>
      <c r="D100" s="1">
        <v>46310</v>
      </c>
      <c r="E100" t="s">
        <v>102</v>
      </c>
      <c r="F100" t="s">
        <v>103</v>
      </c>
      <c r="G100" t="s">
        <v>104</v>
      </c>
      <c r="H100" t="s">
        <v>105</v>
      </c>
      <c r="I100" t="s">
        <v>31</v>
      </c>
      <c r="J100" t="s">
        <v>163</v>
      </c>
      <c r="K100" t="s">
        <v>65</v>
      </c>
      <c r="L100" t="s">
        <v>34</v>
      </c>
      <c r="M100" t="s">
        <v>45</v>
      </c>
      <c r="N100">
        <v>4</v>
      </c>
      <c r="O100">
        <v>5</v>
      </c>
      <c r="P100">
        <v>5</v>
      </c>
      <c r="Q100">
        <v>4</v>
      </c>
      <c r="R100" t="s">
        <v>51</v>
      </c>
      <c r="S100">
        <v>5</v>
      </c>
      <c r="T100">
        <v>10</v>
      </c>
      <c r="U100" t="s">
        <v>45</v>
      </c>
      <c r="V100" t="s">
        <v>95</v>
      </c>
      <c r="W100" s="2">
        <v>46310.552083333336</v>
      </c>
      <c r="X100" t="s">
        <v>39</v>
      </c>
    </row>
    <row r="101" spans="1:24" x14ac:dyDescent="0.25">
      <c r="A101" t="s">
        <v>205</v>
      </c>
      <c r="B101" t="s">
        <v>201</v>
      </c>
      <c r="C101" t="s">
        <v>172</v>
      </c>
      <c r="D101" s="1">
        <v>46310</v>
      </c>
      <c r="E101" t="s">
        <v>102</v>
      </c>
      <c r="F101" t="s">
        <v>103</v>
      </c>
      <c r="G101" t="s">
        <v>104</v>
      </c>
      <c r="H101" t="s">
        <v>105</v>
      </c>
      <c r="I101" t="s">
        <v>31</v>
      </c>
      <c r="J101" t="s">
        <v>81</v>
      </c>
      <c r="K101" t="s">
        <v>33</v>
      </c>
      <c r="L101" t="s">
        <v>44</v>
      </c>
      <c r="M101" t="s">
        <v>45</v>
      </c>
      <c r="N101">
        <v>2</v>
      </c>
      <c r="O101">
        <v>4</v>
      </c>
      <c r="P101">
        <v>4</v>
      </c>
      <c r="Q101">
        <v>3</v>
      </c>
      <c r="R101" t="s">
        <v>51</v>
      </c>
      <c r="S101">
        <v>5</v>
      </c>
      <c r="T101">
        <v>6</v>
      </c>
      <c r="U101" t="s">
        <v>45</v>
      </c>
      <c r="V101" t="s">
        <v>167</v>
      </c>
      <c r="W101" s="2">
        <v>46310.637499999997</v>
      </c>
      <c r="X101" t="s">
        <v>39</v>
      </c>
    </row>
    <row r="102" spans="1:24" x14ac:dyDescent="0.25">
      <c r="A102" t="s">
        <v>206</v>
      </c>
      <c r="B102" t="s">
        <v>201</v>
      </c>
      <c r="C102" t="s">
        <v>172</v>
      </c>
      <c r="D102" s="1">
        <v>46310</v>
      </c>
      <c r="E102" t="s">
        <v>102</v>
      </c>
      <c r="F102" t="s">
        <v>103</v>
      </c>
      <c r="G102" t="s">
        <v>104</v>
      </c>
      <c r="H102" t="s">
        <v>105</v>
      </c>
      <c r="I102" t="s">
        <v>31</v>
      </c>
      <c r="J102" t="s">
        <v>64</v>
      </c>
      <c r="K102" t="s">
        <v>33</v>
      </c>
      <c r="L102" t="s">
        <v>44</v>
      </c>
      <c r="M102" t="s">
        <v>45</v>
      </c>
      <c r="N102">
        <v>5</v>
      </c>
      <c r="O102">
        <v>5</v>
      </c>
      <c r="P102">
        <v>5</v>
      </c>
      <c r="Q102">
        <v>5</v>
      </c>
      <c r="R102" t="s">
        <v>51</v>
      </c>
      <c r="S102">
        <v>5</v>
      </c>
      <c r="T102">
        <v>8</v>
      </c>
      <c r="U102" t="s">
        <v>37</v>
      </c>
      <c r="V102" t="s">
        <v>52</v>
      </c>
      <c r="W102" s="2">
        <v>46310.706250000003</v>
      </c>
      <c r="X102" t="s">
        <v>39</v>
      </c>
    </row>
    <row r="103" spans="1:24" x14ac:dyDescent="0.25">
      <c r="A103" t="s">
        <v>207</v>
      </c>
      <c r="B103" t="s">
        <v>201</v>
      </c>
      <c r="C103" t="s">
        <v>172</v>
      </c>
      <c r="D103" s="1">
        <v>46310</v>
      </c>
      <c r="E103" t="s">
        <v>102</v>
      </c>
      <c r="F103" t="s">
        <v>103</v>
      </c>
      <c r="G103" t="s">
        <v>110</v>
      </c>
      <c r="H103" t="s">
        <v>105</v>
      </c>
      <c r="I103" t="s">
        <v>31</v>
      </c>
      <c r="J103" t="s">
        <v>64</v>
      </c>
      <c r="K103" t="s">
        <v>138</v>
      </c>
      <c r="L103" t="s">
        <v>34</v>
      </c>
      <c r="M103" t="s">
        <v>45</v>
      </c>
      <c r="N103">
        <v>5</v>
      </c>
      <c r="O103">
        <v>5</v>
      </c>
      <c r="P103">
        <v>5</v>
      </c>
      <c r="Q103">
        <v>5</v>
      </c>
      <c r="R103" t="s">
        <v>46</v>
      </c>
      <c r="S103">
        <v>5</v>
      </c>
      <c r="T103">
        <v>10</v>
      </c>
      <c r="U103" t="s">
        <v>45</v>
      </c>
      <c r="V103" t="s">
        <v>147</v>
      </c>
      <c r="W103" s="2">
        <v>46312.456250000003</v>
      </c>
      <c r="X103" t="s">
        <v>39</v>
      </c>
    </row>
    <row r="104" spans="1:24" x14ac:dyDescent="0.25">
      <c r="A104" t="s">
        <v>208</v>
      </c>
      <c r="B104" t="s">
        <v>201</v>
      </c>
      <c r="C104" t="s">
        <v>172</v>
      </c>
      <c r="D104" s="1">
        <v>46310</v>
      </c>
      <c r="E104" t="s">
        <v>102</v>
      </c>
      <c r="F104" t="s">
        <v>103</v>
      </c>
      <c r="G104" t="s">
        <v>110</v>
      </c>
      <c r="H104" t="s">
        <v>105</v>
      </c>
      <c r="I104" t="s">
        <v>31</v>
      </c>
      <c r="J104" t="s">
        <v>71</v>
      </c>
      <c r="K104" t="s">
        <v>65</v>
      </c>
      <c r="L104" t="s">
        <v>72</v>
      </c>
      <c r="M104" t="s">
        <v>45</v>
      </c>
      <c r="N104">
        <v>5</v>
      </c>
      <c r="O104">
        <v>4</v>
      </c>
      <c r="P104">
        <v>5</v>
      </c>
      <c r="Q104">
        <v>4</v>
      </c>
      <c r="R104" t="s">
        <v>51</v>
      </c>
      <c r="S104">
        <v>3</v>
      </c>
      <c r="T104">
        <v>9</v>
      </c>
      <c r="U104" t="s">
        <v>45</v>
      </c>
      <c r="V104" t="s">
        <v>52</v>
      </c>
      <c r="W104" s="2">
        <v>46311.431250000001</v>
      </c>
      <c r="X104" t="s">
        <v>39</v>
      </c>
    </row>
    <row r="105" spans="1:24" x14ac:dyDescent="0.25">
      <c r="A105" t="s">
        <v>209</v>
      </c>
      <c r="B105" t="s">
        <v>201</v>
      </c>
      <c r="C105" t="s">
        <v>172</v>
      </c>
      <c r="D105" s="1">
        <v>46310</v>
      </c>
      <c r="E105" t="s">
        <v>102</v>
      </c>
      <c r="F105" t="s">
        <v>103</v>
      </c>
      <c r="G105" t="s">
        <v>110</v>
      </c>
      <c r="H105" t="s">
        <v>105</v>
      </c>
      <c r="I105" t="s">
        <v>31</v>
      </c>
      <c r="J105" t="s">
        <v>128</v>
      </c>
      <c r="K105" t="s">
        <v>65</v>
      </c>
      <c r="L105" t="s">
        <v>44</v>
      </c>
      <c r="M105" t="s">
        <v>45</v>
      </c>
      <c r="N105">
        <v>3</v>
      </c>
      <c r="O105">
        <v>3</v>
      </c>
      <c r="P105">
        <v>4</v>
      </c>
      <c r="Q105">
        <v>3</v>
      </c>
      <c r="R105" t="s">
        <v>36</v>
      </c>
      <c r="S105">
        <v>3</v>
      </c>
      <c r="T105">
        <v>6</v>
      </c>
      <c r="U105" t="s">
        <v>45</v>
      </c>
      <c r="V105" t="s">
        <v>47</v>
      </c>
      <c r="W105" s="2">
        <v>46310.566666666666</v>
      </c>
      <c r="X105" t="s">
        <v>39</v>
      </c>
    </row>
    <row r="106" spans="1:24" x14ac:dyDescent="0.25">
      <c r="A106" t="s">
        <v>210</v>
      </c>
      <c r="B106" t="s">
        <v>211</v>
      </c>
      <c r="C106" t="s">
        <v>212</v>
      </c>
      <c r="D106" s="1">
        <v>46314</v>
      </c>
      <c r="E106" t="s">
        <v>27</v>
      </c>
      <c r="F106" t="s">
        <v>28</v>
      </c>
      <c r="G106" t="s">
        <v>54</v>
      </c>
      <c r="H106" t="s">
        <v>30</v>
      </c>
      <c r="I106" t="s">
        <v>31</v>
      </c>
      <c r="J106" t="s">
        <v>98</v>
      </c>
      <c r="K106" t="s">
        <v>138</v>
      </c>
      <c r="L106" t="s">
        <v>44</v>
      </c>
      <c r="M106" t="s">
        <v>45</v>
      </c>
      <c r="N106">
        <v>5</v>
      </c>
      <c r="O106">
        <v>4</v>
      </c>
      <c r="P106">
        <v>4</v>
      </c>
      <c r="Q106">
        <v>5</v>
      </c>
      <c r="R106" t="s">
        <v>46</v>
      </c>
      <c r="S106">
        <v>3</v>
      </c>
      <c r="T106">
        <v>7</v>
      </c>
      <c r="U106" t="s">
        <v>45</v>
      </c>
      <c r="V106" t="s">
        <v>91</v>
      </c>
      <c r="W106" s="2">
        <v>46315.310416666667</v>
      </c>
      <c r="X106" t="s">
        <v>39</v>
      </c>
    </row>
    <row r="107" spans="1:24" x14ac:dyDescent="0.25">
      <c r="A107" t="s">
        <v>213</v>
      </c>
      <c r="B107" t="s">
        <v>211</v>
      </c>
      <c r="C107" t="s">
        <v>212</v>
      </c>
      <c r="D107" s="1">
        <v>46314</v>
      </c>
      <c r="E107" t="s">
        <v>27</v>
      </c>
      <c r="F107" t="s">
        <v>28</v>
      </c>
      <c r="G107" t="s">
        <v>132</v>
      </c>
      <c r="H107" t="s">
        <v>30</v>
      </c>
      <c r="I107" t="s">
        <v>31</v>
      </c>
      <c r="J107" t="s">
        <v>50</v>
      </c>
      <c r="K107" t="s">
        <v>43</v>
      </c>
      <c r="L107" t="s">
        <v>72</v>
      </c>
      <c r="M107" t="s">
        <v>35</v>
      </c>
      <c r="N107">
        <v>3</v>
      </c>
      <c r="O107">
        <v>4</v>
      </c>
      <c r="P107">
        <v>3</v>
      </c>
      <c r="Q107">
        <v>5</v>
      </c>
      <c r="R107" t="s">
        <v>51</v>
      </c>
      <c r="S107">
        <v>3</v>
      </c>
      <c r="T107">
        <v>8</v>
      </c>
      <c r="U107" t="s">
        <v>45</v>
      </c>
      <c r="W107" s="2">
        <v>46314.513888888891</v>
      </c>
      <c r="X107" t="s">
        <v>39</v>
      </c>
    </row>
    <row r="108" spans="1:24" x14ac:dyDescent="0.25">
      <c r="A108" t="s">
        <v>214</v>
      </c>
      <c r="B108" t="s">
        <v>211</v>
      </c>
      <c r="C108" t="s">
        <v>212</v>
      </c>
      <c r="D108" s="1">
        <v>46314</v>
      </c>
      <c r="E108" t="s">
        <v>27</v>
      </c>
      <c r="F108" t="s">
        <v>28</v>
      </c>
      <c r="G108" t="s">
        <v>132</v>
      </c>
      <c r="H108" t="s">
        <v>30</v>
      </c>
      <c r="I108" t="s">
        <v>31</v>
      </c>
      <c r="J108" t="s">
        <v>128</v>
      </c>
      <c r="K108" t="s">
        <v>138</v>
      </c>
      <c r="L108" t="s">
        <v>58</v>
      </c>
      <c r="M108" t="s">
        <v>45</v>
      </c>
      <c r="N108">
        <v>4</v>
      </c>
      <c r="O108">
        <v>5</v>
      </c>
      <c r="P108">
        <v>5</v>
      </c>
      <c r="Q108">
        <v>5</v>
      </c>
      <c r="R108" t="s">
        <v>51</v>
      </c>
      <c r="S108">
        <v>5</v>
      </c>
      <c r="T108">
        <v>8</v>
      </c>
      <c r="U108" t="s">
        <v>37</v>
      </c>
      <c r="W108" s="2">
        <v>46314.565972222219</v>
      </c>
      <c r="X108" t="s">
        <v>39</v>
      </c>
    </row>
    <row r="109" spans="1:24" x14ac:dyDescent="0.25">
      <c r="A109" t="s">
        <v>215</v>
      </c>
      <c r="B109" t="s">
        <v>211</v>
      </c>
      <c r="C109" t="s">
        <v>212</v>
      </c>
      <c r="D109" s="1">
        <v>46314</v>
      </c>
      <c r="E109" t="s">
        <v>27</v>
      </c>
      <c r="F109" t="s">
        <v>28</v>
      </c>
      <c r="G109" t="s">
        <v>41</v>
      </c>
      <c r="H109" t="s">
        <v>30</v>
      </c>
      <c r="I109" t="s">
        <v>31</v>
      </c>
      <c r="J109" t="s">
        <v>86</v>
      </c>
      <c r="K109" t="s">
        <v>33</v>
      </c>
      <c r="L109" t="s">
        <v>67</v>
      </c>
      <c r="M109" t="s">
        <v>45</v>
      </c>
      <c r="N109">
        <v>4</v>
      </c>
      <c r="O109">
        <v>5</v>
      </c>
      <c r="P109">
        <v>4</v>
      </c>
      <c r="Q109">
        <v>5</v>
      </c>
      <c r="R109" t="s">
        <v>46</v>
      </c>
      <c r="S109">
        <v>5</v>
      </c>
      <c r="T109">
        <v>10</v>
      </c>
      <c r="U109" t="s">
        <v>45</v>
      </c>
      <c r="V109" t="s">
        <v>91</v>
      </c>
      <c r="W109" s="2">
        <v>46315.772222222222</v>
      </c>
      <c r="X109" t="s">
        <v>39</v>
      </c>
    </row>
    <row r="110" spans="1:24" x14ac:dyDescent="0.25">
      <c r="A110" t="s">
        <v>216</v>
      </c>
      <c r="B110" t="s">
        <v>211</v>
      </c>
      <c r="C110" t="s">
        <v>212</v>
      </c>
      <c r="D110" s="1">
        <v>46314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  <c r="J110" t="s">
        <v>107</v>
      </c>
      <c r="K110" t="s">
        <v>65</v>
      </c>
      <c r="L110" t="s">
        <v>67</v>
      </c>
      <c r="M110" t="s">
        <v>45</v>
      </c>
      <c r="N110">
        <v>4</v>
      </c>
      <c r="O110">
        <v>5</v>
      </c>
      <c r="P110">
        <v>5</v>
      </c>
      <c r="Q110">
        <v>5</v>
      </c>
      <c r="R110" t="s">
        <v>51</v>
      </c>
      <c r="S110">
        <v>5</v>
      </c>
      <c r="T110">
        <v>9</v>
      </c>
      <c r="U110" t="s">
        <v>45</v>
      </c>
      <c r="V110" t="s">
        <v>59</v>
      </c>
      <c r="W110" s="2">
        <v>46316.638888888891</v>
      </c>
      <c r="X110" t="s">
        <v>39</v>
      </c>
    </row>
    <row r="111" spans="1:24" x14ac:dyDescent="0.25">
      <c r="A111" t="s">
        <v>217</v>
      </c>
      <c r="B111" t="s">
        <v>211</v>
      </c>
      <c r="C111" t="s">
        <v>212</v>
      </c>
      <c r="D111" s="1">
        <v>46314</v>
      </c>
      <c r="E111" t="s">
        <v>27</v>
      </c>
      <c r="F111" t="s">
        <v>28</v>
      </c>
      <c r="G111" t="s">
        <v>41</v>
      </c>
      <c r="H111" t="s">
        <v>30</v>
      </c>
      <c r="I111" t="s">
        <v>31</v>
      </c>
      <c r="J111" t="s">
        <v>50</v>
      </c>
      <c r="K111" t="s">
        <v>55</v>
      </c>
      <c r="L111" t="s">
        <v>58</v>
      </c>
      <c r="M111" t="s">
        <v>45</v>
      </c>
      <c r="N111">
        <v>5</v>
      </c>
      <c r="O111">
        <v>5</v>
      </c>
      <c r="Q111">
        <v>5</v>
      </c>
      <c r="R111" t="s">
        <v>51</v>
      </c>
      <c r="S111">
        <v>5</v>
      </c>
      <c r="T111">
        <v>10</v>
      </c>
      <c r="U111" t="s">
        <v>37</v>
      </c>
      <c r="V111" t="s">
        <v>52</v>
      </c>
      <c r="W111" s="2">
        <v>46316.463194444441</v>
      </c>
      <c r="X111" t="s">
        <v>39</v>
      </c>
    </row>
    <row r="112" spans="1:24" x14ac:dyDescent="0.25">
      <c r="A112" t="s">
        <v>218</v>
      </c>
      <c r="B112" t="s">
        <v>211</v>
      </c>
      <c r="C112" t="s">
        <v>212</v>
      </c>
      <c r="D112" s="1">
        <v>46314</v>
      </c>
      <c r="E112" t="s">
        <v>27</v>
      </c>
      <c r="F112" t="s">
        <v>28</v>
      </c>
      <c r="G112" t="s">
        <v>41</v>
      </c>
      <c r="H112" t="s">
        <v>30</v>
      </c>
      <c r="I112" t="s">
        <v>31</v>
      </c>
      <c r="J112" t="s">
        <v>86</v>
      </c>
      <c r="K112" t="s">
        <v>33</v>
      </c>
      <c r="L112" t="s">
        <v>44</v>
      </c>
      <c r="M112" t="s">
        <v>35</v>
      </c>
      <c r="N112">
        <v>2</v>
      </c>
      <c r="O112">
        <v>2</v>
      </c>
      <c r="P112">
        <v>3</v>
      </c>
      <c r="Q112">
        <v>2</v>
      </c>
      <c r="R112" t="s">
        <v>51</v>
      </c>
      <c r="S112">
        <v>4</v>
      </c>
      <c r="T112">
        <v>5</v>
      </c>
      <c r="U112" t="s">
        <v>45</v>
      </c>
      <c r="V112" t="s">
        <v>130</v>
      </c>
      <c r="W112" s="2">
        <v>46315.417361111111</v>
      </c>
      <c r="X112" t="s">
        <v>39</v>
      </c>
    </row>
    <row r="113" spans="1:24" x14ac:dyDescent="0.25">
      <c r="A113" t="s">
        <v>219</v>
      </c>
      <c r="B113" t="s">
        <v>211</v>
      </c>
      <c r="C113" t="s">
        <v>212</v>
      </c>
      <c r="D113" s="1">
        <v>46314</v>
      </c>
      <c r="E113" t="s">
        <v>27</v>
      </c>
      <c r="F113" t="s">
        <v>28</v>
      </c>
      <c r="G113" t="s">
        <v>54</v>
      </c>
      <c r="H113" t="s">
        <v>30</v>
      </c>
      <c r="I113" t="s">
        <v>31</v>
      </c>
      <c r="J113" t="s">
        <v>98</v>
      </c>
      <c r="K113" t="s">
        <v>33</v>
      </c>
      <c r="L113" t="s">
        <v>44</v>
      </c>
      <c r="M113" t="s">
        <v>45</v>
      </c>
      <c r="N113">
        <v>4</v>
      </c>
      <c r="O113">
        <v>5</v>
      </c>
      <c r="P113">
        <v>5</v>
      </c>
      <c r="Q113">
        <v>5</v>
      </c>
      <c r="R113" t="s">
        <v>51</v>
      </c>
      <c r="S113">
        <v>3</v>
      </c>
      <c r="T113">
        <v>10</v>
      </c>
      <c r="U113" t="s">
        <v>45</v>
      </c>
      <c r="V113" t="s">
        <v>147</v>
      </c>
      <c r="W113" s="2">
        <v>46314.523611111108</v>
      </c>
      <c r="X113" t="s">
        <v>39</v>
      </c>
    </row>
    <row r="114" spans="1:24" x14ac:dyDescent="0.25">
      <c r="A114" t="s">
        <v>220</v>
      </c>
      <c r="B114" t="s">
        <v>211</v>
      </c>
      <c r="C114" t="s">
        <v>212</v>
      </c>
      <c r="D114" s="1">
        <v>46314</v>
      </c>
      <c r="E114" t="s">
        <v>27</v>
      </c>
      <c r="F114" t="s">
        <v>28</v>
      </c>
      <c r="G114" t="s">
        <v>41</v>
      </c>
      <c r="H114" t="s">
        <v>30</v>
      </c>
      <c r="I114" t="s">
        <v>31</v>
      </c>
      <c r="J114" t="s">
        <v>71</v>
      </c>
      <c r="K114" t="s">
        <v>65</v>
      </c>
      <c r="L114" t="s">
        <v>58</v>
      </c>
      <c r="M114" t="s">
        <v>45</v>
      </c>
      <c r="N114">
        <v>3</v>
      </c>
      <c r="O114">
        <v>2</v>
      </c>
      <c r="P114">
        <v>3</v>
      </c>
      <c r="Q114">
        <v>2</v>
      </c>
      <c r="R114" t="s">
        <v>51</v>
      </c>
      <c r="S114">
        <v>5</v>
      </c>
      <c r="T114">
        <v>6</v>
      </c>
      <c r="U114" t="s">
        <v>45</v>
      </c>
      <c r="V114" t="s">
        <v>69</v>
      </c>
      <c r="W114" s="2">
        <v>46316.388888888891</v>
      </c>
      <c r="X114" t="s">
        <v>39</v>
      </c>
    </row>
    <row r="115" spans="1:24" x14ac:dyDescent="0.25">
      <c r="A115" t="s">
        <v>221</v>
      </c>
      <c r="B115" t="s">
        <v>211</v>
      </c>
      <c r="C115" t="s">
        <v>212</v>
      </c>
      <c r="D115" s="1">
        <v>46314</v>
      </c>
      <c r="E115" t="s">
        <v>27</v>
      </c>
      <c r="F115" t="s">
        <v>28</v>
      </c>
      <c r="G115" t="s">
        <v>41</v>
      </c>
      <c r="H115" t="s">
        <v>30</v>
      </c>
      <c r="I115" t="s">
        <v>31</v>
      </c>
      <c r="J115" t="s">
        <v>71</v>
      </c>
      <c r="K115" t="s">
        <v>33</v>
      </c>
      <c r="L115" t="s">
        <v>44</v>
      </c>
      <c r="M115" t="s">
        <v>45</v>
      </c>
      <c r="N115">
        <v>4</v>
      </c>
      <c r="O115">
        <v>4</v>
      </c>
      <c r="P115">
        <v>4</v>
      </c>
      <c r="Q115">
        <v>4</v>
      </c>
      <c r="R115" t="s">
        <v>51</v>
      </c>
      <c r="S115">
        <v>4</v>
      </c>
      <c r="T115">
        <v>8</v>
      </c>
      <c r="U115" t="s">
        <v>45</v>
      </c>
      <c r="V115" t="s">
        <v>62</v>
      </c>
      <c r="W115" s="2">
        <v>46314.664583333331</v>
      </c>
      <c r="X115" t="s">
        <v>39</v>
      </c>
    </row>
    <row r="116" spans="1:24" x14ac:dyDescent="0.25">
      <c r="A116" t="s">
        <v>222</v>
      </c>
      <c r="B116" t="s">
        <v>211</v>
      </c>
      <c r="C116" t="s">
        <v>212</v>
      </c>
      <c r="D116" s="1">
        <v>46314</v>
      </c>
      <c r="E116" t="s">
        <v>27</v>
      </c>
      <c r="F116" t="s">
        <v>28</v>
      </c>
      <c r="G116" t="s">
        <v>132</v>
      </c>
      <c r="H116" t="s">
        <v>30</v>
      </c>
      <c r="I116" t="s">
        <v>31</v>
      </c>
      <c r="J116" t="s">
        <v>86</v>
      </c>
      <c r="K116" t="s">
        <v>138</v>
      </c>
      <c r="L116" t="s">
        <v>34</v>
      </c>
      <c r="M116" t="s">
        <v>45</v>
      </c>
      <c r="N116">
        <v>4</v>
      </c>
      <c r="O116">
        <v>4</v>
      </c>
      <c r="P116">
        <v>5</v>
      </c>
      <c r="Q116">
        <v>4</v>
      </c>
      <c r="R116" t="s">
        <v>46</v>
      </c>
      <c r="S116">
        <v>4</v>
      </c>
      <c r="T116">
        <v>9</v>
      </c>
      <c r="U116" t="s">
        <v>45</v>
      </c>
      <c r="W116" s="2">
        <v>46314.6875</v>
      </c>
      <c r="X116" t="s">
        <v>39</v>
      </c>
    </row>
    <row r="117" spans="1:24" x14ac:dyDescent="0.25">
      <c r="A117" t="s">
        <v>223</v>
      </c>
      <c r="B117" t="s">
        <v>211</v>
      </c>
      <c r="C117" t="s">
        <v>212</v>
      </c>
      <c r="D117" s="1">
        <v>46314</v>
      </c>
      <c r="E117" t="s">
        <v>27</v>
      </c>
      <c r="F117" t="s">
        <v>28</v>
      </c>
      <c r="G117" t="s">
        <v>29</v>
      </c>
      <c r="H117" t="s">
        <v>30</v>
      </c>
      <c r="I117" t="s">
        <v>31</v>
      </c>
      <c r="J117" t="s">
        <v>128</v>
      </c>
      <c r="K117" t="s">
        <v>65</v>
      </c>
      <c r="L117" t="s">
        <v>34</v>
      </c>
      <c r="M117" t="s">
        <v>45</v>
      </c>
      <c r="N117">
        <v>3</v>
      </c>
      <c r="O117">
        <v>4</v>
      </c>
      <c r="P117">
        <v>3</v>
      </c>
      <c r="Q117">
        <v>4</v>
      </c>
      <c r="R117" t="s">
        <v>36</v>
      </c>
      <c r="S117">
        <v>4</v>
      </c>
      <c r="T117">
        <v>6</v>
      </c>
      <c r="U117" t="s">
        <v>45</v>
      </c>
      <c r="W117" s="2">
        <v>46316.467361111114</v>
      </c>
      <c r="X117" t="s">
        <v>39</v>
      </c>
    </row>
    <row r="118" spans="1:24" x14ac:dyDescent="0.25">
      <c r="A118" t="s">
        <v>224</v>
      </c>
      <c r="B118" t="s">
        <v>211</v>
      </c>
      <c r="C118" t="s">
        <v>212</v>
      </c>
      <c r="D118" s="1">
        <v>46314</v>
      </c>
      <c r="E118" t="s">
        <v>27</v>
      </c>
      <c r="F118" t="s">
        <v>28</v>
      </c>
      <c r="G118" t="s">
        <v>41</v>
      </c>
      <c r="H118" t="s">
        <v>30</v>
      </c>
      <c r="I118" t="s">
        <v>31</v>
      </c>
      <c r="J118" t="s">
        <v>163</v>
      </c>
      <c r="K118" t="s">
        <v>33</v>
      </c>
      <c r="L118" t="s">
        <v>72</v>
      </c>
      <c r="M118" t="s">
        <v>45</v>
      </c>
      <c r="N118">
        <v>4</v>
      </c>
      <c r="O118">
        <v>4</v>
      </c>
      <c r="P118">
        <v>4</v>
      </c>
      <c r="Q118">
        <v>4</v>
      </c>
      <c r="R118" t="s">
        <v>51</v>
      </c>
      <c r="S118">
        <v>4</v>
      </c>
      <c r="T118">
        <v>9</v>
      </c>
      <c r="U118" t="s">
        <v>45</v>
      </c>
      <c r="V118" t="s">
        <v>95</v>
      </c>
      <c r="W118" s="2">
        <v>46314.48541666667</v>
      </c>
      <c r="X118" t="s">
        <v>39</v>
      </c>
    </row>
    <row r="119" spans="1:24" x14ac:dyDescent="0.25">
      <c r="A119" t="s">
        <v>225</v>
      </c>
      <c r="B119" t="s">
        <v>211</v>
      </c>
      <c r="C119" t="s">
        <v>212</v>
      </c>
      <c r="D119" s="1">
        <v>46314</v>
      </c>
      <c r="E119" t="s">
        <v>27</v>
      </c>
      <c r="F119" t="s">
        <v>28</v>
      </c>
      <c r="G119" t="s">
        <v>49</v>
      </c>
      <c r="H119" t="s">
        <v>30</v>
      </c>
      <c r="I119" t="s">
        <v>31</v>
      </c>
      <c r="J119" t="s">
        <v>128</v>
      </c>
      <c r="K119" t="s">
        <v>138</v>
      </c>
      <c r="L119" t="s">
        <v>67</v>
      </c>
      <c r="M119" t="s">
        <v>45</v>
      </c>
      <c r="N119">
        <v>4</v>
      </c>
      <c r="O119">
        <v>4</v>
      </c>
      <c r="P119">
        <v>5</v>
      </c>
      <c r="Q119">
        <v>4</v>
      </c>
      <c r="R119" t="s">
        <v>51</v>
      </c>
      <c r="S119">
        <v>4</v>
      </c>
      <c r="T119">
        <v>7</v>
      </c>
      <c r="U119" t="s">
        <v>45</v>
      </c>
      <c r="V119" t="s">
        <v>147</v>
      </c>
      <c r="W119" s="2">
        <v>46314.756944444445</v>
      </c>
      <c r="X119" t="s">
        <v>39</v>
      </c>
    </row>
    <row r="120" spans="1:24" x14ac:dyDescent="0.25">
      <c r="A120" t="s">
        <v>226</v>
      </c>
      <c r="B120" t="s">
        <v>227</v>
      </c>
      <c r="C120" t="s">
        <v>212</v>
      </c>
      <c r="D120" s="1">
        <v>46314</v>
      </c>
      <c r="E120" t="s">
        <v>77</v>
      </c>
      <c r="F120" t="s">
        <v>78</v>
      </c>
      <c r="G120" t="s">
        <v>79</v>
      </c>
      <c r="H120" t="s">
        <v>80</v>
      </c>
      <c r="I120" t="s">
        <v>31</v>
      </c>
      <c r="J120" t="s">
        <v>61</v>
      </c>
      <c r="K120" t="s">
        <v>55</v>
      </c>
      <c r="L120" t="s">
        <v>34</v>
      </c>
      <c r="M120" t="s">
        <v>45</v>
      </c>
      <c r="N120">
        <v>3</v>
      </c>
      <c r="O120">
        <v>4</v>
      </c>
      <c r="P120">
        <v>4</v>
      </c>
      <c r="R120" t="s">
        <v>51</v>
      </c>
      <c r="S120">
        <v>4</v>
      </c>
      <c r="T120">
        <v>7</v>
      </c>
      <c r="U120" t="s">
        <v>37</v>
      </c>
      <c r="W120" s="2">
        <v>46314.606249999997</v>
      </c>
      <c r="X120" t="s">
        <v>39</v>
      </c>
    </row>
    <row r="121" spans="1:24" x14ac:dyDescent="0.25">
      <c r="A121" t="s">
        <v>228</v>
      </c>
      <c r="B121" t="s">
        <v>227</v>
      </c>
      <c r="C121" t="s">
        <v>212</v>
      </c>
      <c r="D121" s="1">
        <v>46314</v>
      </c>
      <c r="E121" t="s">
        <v>77</v>
      </c>
      <c r="F121" t="s">
        <v>78</v>
      </c>
      <c r="G121" t="s">
        <v>85</v>
      </c>
      <c r="H121" t="s">
        <v>80</v>
      </c>
      <c r="I121" t="s">
        <v>31</v>
      </c>
      <c r="J121" t="s">
        <v>107</v>
      </c>
      <c r="K121" t="s">
        <v>138</v>
      </c>
      <c r="L121" t="s">
        <v>58</v>
      </c>
      <c r="M121" t="s">
        <v>45</v>
      </c>
      <c r="N121">
        <v>4</v>
      </c>
      <c r="O121">
        <v>4</v>
      </c>
      <c r="P121">
        <v>4</v>
      </c>
      <c r="Q121">
        <v>3</v>
      </c>
      <c r="R121" t="s">
        <v>36</v>
      </c>
      <c r="S121">
        <v>5</v>
      </c>
      <c r="T121">
        <v>8</v>
      </c>
      <c r="U121" t="s">
        <v>37</v>
      </c>
      <c r="V121" t="s">
        <v>91</v>
      </c>
      <c r="W121" s="2">
        <v>46314.531944444447</v>
      </c>
      <c r="X121" t="s">
        <v>39</v>
      </c>
    </row>
    <row r="122" spans="1:24" x14ac:dyDescent="0.25">
      <c r="A122" t="s">
        <v>229</v>
      </c>
      <c r="B122" t="s">
        <v>227</v>
      </c>
      <c r="C122" t="s">
        <v>212</v>
      </c>
      <c r="D122" s="1">
        <v>46314</v>
      </c>
      <c r="E122" t="s">
        <v>77</v>
      </c>
      <c r="F122" t="s">
        <v>78</v>
      </c>
      <c r="G122" t="s">
        <v>79</v>
      </c>
      <c r="H122" t="s">
        <v>80</v>
      </c>
      <c r="I122" t="s">
        <v>31</v>
      </c>
      <c r="J122" t="s">
        <v>42</v>
      </c>
      <c r="K122" t="s">
        <v>33</v>
      </c>
      <c r="L122" t="s">
        <v>44</v>
      </c>
      <c r="M122" t="s">
        <v>45</v>
      </c>
      <c r="N122">
        <v>4</v>
      </c>
      <c r="O122">
        <v>3</v>
      </c>
      <c r="P122">
        <v>4</v>
      </c>
      <c r="Q122">
        <v>4</v>
      </c>
      <c r="R122" t="s">
        <v>51</v>
      </c>
      <c r="S122">
        <v>5</v>
      </c>
      <c r="T122">
        <v>8</v>
      </c>
      <c r="U122" t="s">
        <v>37</v>
      </c>
      <c r="V122" t="s">
        <v>52</v>
      </c>
      <c r="W122" s="2">
        <v>46316.567361111112</v>
      </c>
      <c r="X122" t="s">
        <v>39</v>
      </c>
    </row>
    <row r="123" spans="1:24" x14ac:dyDescent="0.25">
      <c r="A123" t="s">
        <v>230</v>
      </c>
      <c r="B123" t="s">
        <v>227</v>
      </c>
      <c r="C123" t="s">
        <v>212</v>
      </c>
      <c r="D123" s="1">
        <v>46314</v>
      </c>
      <c r="E123" t="s">
        <v>77</v>
      </c>
      <c r="F123" t="s">
        <v>78</v>
      </c>
      <c r="G123" t="s">
        <v>79</v>
      </c>
      <c r="H123" t="s">
        <v>80</v>
      </c>
      <c r="I123" t="s">
        <v>31</v>
      </c>
      <c r="J123" t="s">
        <v>107</v>
      </c>
      <c r="K123" t="s">
        <v>33</v>
      </c>
      <c r="L123" t="s">
        <v>72</v>
      </c>
      <c r="M123" t="s">
        <v>45</v>
      </c>
      <c r="N123">
        <v>5</v>
      </c>
      <c r="O123">
        <v>5</v>
      </c>
      <c r="P123">
        <v>4</v>
      </c>
      <c r="Q123">
        <v>4</v>
      </c>
      <c r="R123" t="s">
        <v>51</v>
      </c>
      <c r="S123">
        <v>3</v>
      </c>
      <c r="T123">
        <v>8</v>
      </c>
      <c r="U123" t="s">
        <v>45</v>
      </c>
      <c r="V123" t="s">
        <v>95</v>
      </c>
      <c r="W123" s="2">
        <v>46315.495138888888</v>
      </c>
      <c r="X123" t="s">
        <v>39</v>
      </c>
    </row>
    <row r="124" spans="1:24" x14ac:dyDescent="0.25">
      <c r="A124" t="s">
        <v>231</v>
      </c>
      <c r="B124" t="s">
        <v>227</v>
      </c>
      <c r="C124" t="s">
        <v>212</v>
      </c>
      <c r="D124" s="1">
        <v>46314</v>
      </c>
      <c r="E124" t="s">
        <v>77</v>
      </c>
      <c r="F124" t="s">
        <v>78</v>
      </c>
      <c r="G124" t="s">
        <v>83</v>
      </c>
      <c r="H124" t="s">
        <v>80</v>
      </c>
      <c r="I124" t="s">
        <v>31</v>
      </c>
      <c r="J124" t="s">
        <v>81</v>
      </c>
      <c r="K124" t="s">
        <v>138</v>
      </c>
      <c r="L124" t="s">
        <v>67</v>
      </c>
      <c r="M124" t="s">
        <v>45</v>
      </c>
      <c r="N124">
        <v>3</v>
      </c>
      <c r="O124">
        <v>2</v>
      </c>
      <c r="P124">
        <v>3</v>
      </c>
      <c r="Q124">
        <v>4</v>
      </c>
      <c r="R124" t="s">
        <v>51</v>
      </c>
      <c r="S124">
        <v>3</v>
      </c>
      <c r="T124">
        <v>4</v>
      </c>
      <c r="U124" t="s">
        <v>45</v>
      </c>
      <c r="V124" t="s">
        <v>47</v>
      </c>
      <c r="W124" s="2">
        <v>46314.661805555559</v>
      </c>
      <c r="X124" t="s">
        <v>39</v>
      </c>
    </row>
    <row r="125" spans="1:24" x14ac:dyDescent="0.25">
      <c r="A125" t="s">
        <v>232</v>
      </c>
      <c r="B125" t="s">
        <v>227</v>
      </c>
      <c r="C125" t="s">
        <v>212</v>
      </c>
      <c r="D125" s="1">
        <v>46314</v>
      </c>
      <c r="E125" t="s">
        <v>77</v>
      </c>
      <c r="F125" t="s">
        <v>78</v>
      </c>
      <c r="G125" t="s">
        <v>83</v>
      </c>
      <c r="H125" t="s">
        <v>80</v>
      </c>
      <c r="I125" t="s">
        <v>31</v>
      </c>
      <c r="J125" t="s">
        <v>163</v>
      </c>
      <c r="K125" t="s">
        <v>55</v>
      </c>
      <c r="L125" t="s">
        <v>44</v>
      </c>
      <c r="M125" t="s">
        <v>45</v>
      </c>
      <c r="N125">
        <v>5</v>
      </c>
      <c r="O125">
        <v>4</v>
      </c>
      <c r="P125">
        <v>5</v>
      </c>
      <c r="Q125">
        <v>5</v>
      </c>
      <c r="R125" t="s">
        <v>46</v>
      </c>
      <c r="S125">
        <v>5</v>
      </c>
      <c r="T125">
        <v>9</v>
      </c>
      <c r="U125" t="s">
        <v>45</v>
      </c>
      <c r="V125" t="s">
        <v>59</v>
      </c>
      <c r="W125" s="2">
        <v>46316.482638888891</v>
      </c>
      <c r="X125" t="s">
        <v>39</v>
      </c>
    </row>
    <row r="126" spans="1:24" x14ac:dyDescent="0.25">
      <c r="A126" t="s">
        <v>233</v>
      </c>
      <c r="B126" t="s">
        <v>227</v>
      </c>
      <c r="C126" t="s">
        <v>212</v>
      </c>
      <c r="D126" s="1">
        <v>46314</v>
      </c>
      <c r="E126" t="s">
        <v>77</v>
      </c>
      <c r="F126" t="s">
        <v>78</v>
      </c>
      <c r="G126" t="s">
        <v>85</v>
      </c>
      <c r="H126" t="s">
        <v>80</v>
      </c>
      <c r="I126" t="s">
        <v>31</v>
      </c>
      <c r="J126" t="s">
        <v>128</v>
      </c>
      <c r="K126" t="s">
        <v>138</v>
      </c>
      <c r="L126" t="s">
        <v>34</v>
      </c>
      <c r="M126" t="s">
        <v>45</v>
      </c>
      <c r="N126">
        <v>4</v>
      </c>
      <c r="O126">
        <v>3</v>
      </c>
      <c r="P126">
        <v>4</v>
      </c>
      <c r="Q126">
        <v>5</v>
      </c>
      <c r="R126" t="s">
        <v>51</v>
      </c>
      <c r="S126">
        <v>3</v>
      </c>
      <c r="T126">
        <v>8</v>
      </c>
      <c r="U126" t="s">
        <v>35</v>
      </c>
      <c r="V126" t="s">
        <v>121</v>
      </c>
      <c r="W126" s="2">
        <v>46314.663194444445</v>
      </c>
      <c r="X126" t="s">
        <v>39</v>
      </c>
    </row>
    <row r="127" spans="1:24" x14ac:dyDescent="0.25">
      <c r="A127" t="s">
        <v>234</v>
      </c>
      <c r="B127" t="s">
        <v>227</v>
      </c>
      <c r="C127" t="s">
        <v>212</v>
      </c>
      <c r="D127" s="1">
        <v>46314</v>
      </c>
      <c r="E127" t="s">
        <v>77</v>
      </c>
      <c r="F127" t="s">
        <v>78</v>
      </c>
      <c r="G127" t="s">
        <v>83</v>
      </c>
      <c r="H127" t="s">
        <v>80</v>
      </c>
      <c r="I127" t="s">
        <v>31</v>
      </c>
      <c r="J127" t="s">
        <v>71</v>
      </c>
      <c r="K127" t="s">
        <v>138</v>
      </c>
      <c r="L127" t="s">
        <v>34</v>
      </c>
      <c r="M127" t="s">
        <v>45</v>
      </c>
      <c r="N127">
        <v>3</v>
      </c>
      <c r="O127">
        <v>2</v>
      </c>
      <c r="P127">
        <v>3</v>
      </c>
      <c r="Q127">
        <v>3</v>
      </c>
      <c r="R127" t="s">
        <v>51</v>
      </c>
      <c r="S127">
        <v>3</v>
      </c>
      <c r="T127">
        <v>4</v>
      </c>
      <c r="U127" t="s">
        <v>45</v>
      </c>
      <c r="W127" s="2">
        <v>46314.663888888892</v>
      </c>
      <c r="X127" t="s">
        <v>39</v>
      </c>
    </row>
    <row r="128" spans="1:24" x14ac:dyDescent="0.25">
      <c r="A128" t="s">
        <v>235</v>
      </c>
      <c r="B128" t="s">
        <v>227</v>
      </c>
      <c r="C128" t="s">
        <v>212</v>
      </c>
      <c r="D128" s="1">
        <v>46314</v>
      </c>
      <c r="E128" t="s">
        <v>77</v>
      </c>
      <c r="F128" t="s">
        <v>78</v>
      </c>
      <c r="G128" t="s">
        <v>85</v>
      </c>
      <c r="H128" t="s">
        <v>80</v>
      </c>
      <c r="I128" t="s">
        <v>31</v>
      </c>
      <c r="J128" t="s">
        <v>86</v>
      </c>
      <c r="K128" t="s">
        <v>43</v>
      </c>
      <c r="L128" t="s">
        <v>44</v>
      </c>
      <c r="M128" t="s">
        <v>45</v>
      </c>
      <c r="N128">
        <v>2</v>
      </c>
      <c r="O128">
        <v>2</v>
      </c>
      <c r="P128">
        <v>2</v>
      </c>
      <c r="Q128">
        <v>3</v>
      </c>
      <c r="R128" t="s">
        <v>51</v>
      </c>
      <c r="S128">
        <v>2</v>
      </c>
      <c r="T128">
        <v>3</v>
      </c>
      <c r="U128" t="s">
        <v>45</v>
      </c>
      <c r="V128" t="s">
        <v>191</v>
      </c>
      <c r="W128" s="2">
        <v>46314.539583333331</v>
      </c>
      <c r="X128" t="s">
        <v>39</v>
      </c>
    </row>
    <row r="129" spans="1:24" x14ac:dyDescent="0.25">
      <c r="A129" t="s">
        <v>236</v>
      </c>
      <c r="B129" t="s">
        <v>227</v>
      </c>
      <c r="C129" t="s">
        <v>212</v>
      </c>
      <c r="D129" s="1">
        <v>46314</v>
      </c>
      <c r="E129" t="s">
        <v>77</v>
      </c>
      <c r="F129" t="s">
        <v>78</v>
      </c>
      <c r="G129" t="s">
        <v>85</v>
      </c>
      <c r="H129" t="s">
        <v>80</v>
      </c>
      <c r="I129" t="s">
        <v>31</v>
      </c>
      <c r="J129" t="s">
        <v>32</v>
      </c>
      <c r="K129" t="s">
        <v>55</v>
      </c>
      <c r="L129" t="s">
        <v>34</v>
      </c>
      <c r="M129" t="s">
        <v>45</v>
      </c>
      <c r="N129">
        <v>4</v>
      </c>
      <c r="O129">
        <v>4</v>
      </c>
      <c r="P129">
        <v>4</v>
      </c>
      <c r="Q129">
        <v>5</v>
      </c>
      <c r="R129" t="s">
        <v>51</v>
      </c>
      <c r="S129">
        <v>3</v>
      </c>
      <c r="T129">
        <v>9</v>
      </c>
      <c r="U129" t="s">
        <v>37</v>
      </c>
      <c r="V129" t="s">
        <v>62</v>
      </c>
      <c r="W129" s="2">
        <v>46314.543749999997</v>
      </c>
      <c r="X129" t="s">
        <v>39</v>
      </c>
    </row>
    <row r="130" spans="1:24" x14ac:dyDescent="0.25">
      <c r="A130" t="s">
        <v>237</v>
      </c>
      <c r="B130" t="s">
        <v>227</v>
      </c>
      <c r="C130" t="s">
        <v>212</v>
      </c>
      <c r="D130" s="1">
        <v>46314</v>
      </c>
      <c r="E130" t="s">
        <v>77</v>
      </c>
      <c r="F130" t="s">
        <v>78</v>
      </c>
      <c r="G130" t="s">
        <v>79</v>
      </c>
      <c r="H130" t="s">
        <v>80</v>
      </c>
      <c r="I130" t="s">
        <v>31</v>
      </c>
      <c r="J130" t="s">
        <v>94</v>
      </c>
      <c r="K130" t="s">
        <v>138</v>
      </c>
      <c r="L130" t="s">
        <v>67</v>
      </c>
      <c r="M130" t="s">
        <v>45</v>
      </c>
      <c r="N130">
        <v>5</v>
      </c>
      <c r="P130">
        <v>4</v>
      </c>
      <c r="Q130">
        <v>3</v>
      </c>
      <c r="R130" t="s">
        <v>36</v>
      </c>
      <c r="S130">
        <v>4</v>
      </c>
      <c r="T130">
        <v>8</v>
      </c>
      <c r="U130" t="s">
        <v>37</v>
      </c>
      <c r="V130" t="s">
        <v>121</v>
      </c>
      <c r="W130" s="2">
        <v>46315.609722222223</v>
      </c>
      <c r="X130" t="s">
        <v>39</v>
      </c>
    </row>
    <row r="131" spans="1:24" x14ac:dyDescent="0.25">
      <c r="A131" t="s">
        <v>238</v>
      </c>
      <c r="B131" t="s">
        <v>239</v>
      </c>
      <c r="C131" t="s">
        <v>212</v>
      </c>
      <c r="D131" s="1">
        <v>46314</v>
      </c>
      <c r="E131" t="s">
        <v>102</v>
      </c>
      <c r="F131" t="s">
        <v>103</v>
      </c>
      <c r="G131" t="s">
        <v>110</v>
      </c>
      <c r="H131" t="s">
        <v>105</v>
      </c>
      <c r="I131" t="s">
        <v>31</v>
      </c>
      <c r="J131" t="s">
        <v>50</v>
      </c>
      <c r="K131" t="s">
        <v>65</v>
      </c>
      <c r="L131" t="s">
        <v>34</v>
      </c>
      <c r="M131" t="s">
        <v>45</v>
      </c>
      <c r="N131">
        <v>5</v>
      </c>
      <c r="O131">
        <v>4</v>
      </c>
      <c r="P131">
        <v>4</v>
      </c>
      <c r="Q131">
        <v>5</v>
      </c>
      <c r="R131" t="s">
        <v>36</v>
      </c>
      <c r="S131">
        <v>5</v>
      </c>
      <c r="T131">
        <v>10</v>
      </c>
      <c r="U131" t="s">
        <v>45</v>
      </c>
      <c r="V131" t="s">
        <v>121</v>
      </c>
      <c r="W131" s="2">
        <v>46315.256249999999</v>
      </c>
      <c r="X131" t="s">
        <v>39</v>
      </c>
    </row>
    <row r="132" spans="1:24" x14ac:dyDescent="0.25">
      <c r="A132" t="s">
        <v>240</v>
      </c>
      <c r="B132" t="s">
        <v>239</v>
      </c>
      <c r="C132" t="s">
        <v>212</v>
      </c>
      <c r="D132" s="1">
        <v>46314</v>
      </c>
      <c r="E132" t="s">
        <v>102</v>
      </c>
      <c r="F132" t="s">
        <v>103</v>
      </c>
      <c r="G132" t="s">
        <v>110</v>
      </c>
      <c r="H132" t="s">
        <v>105</v>
      </c>
      <c r="I132" t="s">
        <v>31</v>
      </c>
      <c r="J132" t="s">
        <v>71</v>
      </c>
      <c r="K132" t="s">
        <v>138</v>
      </c>
      <c r="L132" t="s">
        <v>44</v>
      </c>
      <c r="M132" t="s">
        <v>45</v>
      </c>
      <c r="N132">
        <v>3</v>
      </c>
      <c r="O132">
        <v>3</v>
      </c>
      <c r="Q132">
        <v>3</v>
      </c>
      <c r="R132" t="s">
        <v>51</v>
      </c>
      <c r="S132">
        <v>5</v>
      </c>
      <c r="T132">
        <v>4</v>
      </c>
      <c r="U132" t="s">
        <v>45</v>
      </c>
      <c r="V132" t="s">
        <v>130</v>
      </c>
      <c r="W132" s="2">
        <v>46314.530555555553</v>
      </c>
      <c r="X132" t="s">
        <v>39</v>
      </c>
    </row>
    <row r="133" spans="1:24" x14ac:dyDescent="0.25">
      <c r="A133" t="s">
        <v>241</v>
      </c>
      <c r="B133" t="s">
        <v>239</v>
      </c>
      <c r="C133" t="s">
        <v>212</v>
      </c>
      <c r="D133" s="1">
        <v>46314</v>
      </c>
      <c r="E133" t="s">
        <v>102</v>
      </c>
      <c r="F133" t="s">
        <v>103</v>
      </c>
      <c r="G133" t="s">
        <v>104</v>
      </c>
      <c r="H133" t="s">
        <v>105</v>
      </c>
      <c r="I133" t="s">
        <v>31</v>
      </c>
      <c r="J133" t="s">
        <v>64</v>
      </c>
      <c r="K133" t="s">
        <v>43</v>
      </c>
      <c r="L133" t="s">
        <v>44</v>
      </c>
      <c r="M133" t="s">
        <v>45</v>
      </c>
      <c r="N133">
        <v>5</v>
      </c>
      <c r="O133">
        <v>5</v>
      </c>
      <c r="P133">
        <v>5</v>
      </c>
      <c r="Q133">
        <v>5</v>
      </c>
      <c r="R133" t="s">
        <v>36</v>
      </c>
      <c r="S133">
        <v>3</v>
      </c>
      <c r="T133">
        <v>10</v>
      </c>
      <c r="U133" t="s">
        <v>45</v>
      </c>
      <c r="V133" t="s">
        <v>91</v>
      </c>
      <c r="W133" s="2">
        <v>46315.640277777777</v>
      </c>
      <c r="X133" t="s">
        <v>39</v>
      </c>
    </row>
    <row r="134" spans="1:24" x14ac:dyDescent="0.25">
      <c r="A134" t="s">
        <v>242</v>
      </c>
      <c r="B134" t="s">
        <v>239</v>
      </c>
      <c r="C134" t="s">
        <v>212</v>
      </c>
      <c r="D134" s="1">
        <v>46314</v>
      </c>
      <c r="E134" t="s">
        <v>102</v>
      </c>
      <c r="F134" t="s">
        <v>103</v>
      </c>
      <c r="G134" t="s">
        <v>104</v>
      </c>
      <c r="H134" t="s">
        <v>105</v>
      </c>
      <c r="I134" t="s">
        <v>31</v>
      </c>
      <c r="J134" t="s">
        <v>42</v>
      </c>
      <c r="K134" t="s">
        <v>65</v>
      </c>
      <c r="L134" t="s">
        <v>58</v>
      </c>
      <c r="M134" t="s">
        <v>35</v>
      </c>
      <c r="N134">
        <v>3</v>
      </c>
      <c r="O134">
        <v>3</v>
      </c>
      <c r="P134">
        <v>2</v>
      </c>
      <c r="R134" t="s">
        <v>51</v>
      </c>
      <c r="S134">
        <v>5</v>
      </c>
      <c r="T134">
        <v>6</v>
      </c>
      <c r="U134" t="s">
        <v>35</v>
      </c>
      <c r="W134" s="2">
        <v>46316.580555555556</v>
      </c>
      <c r="X134" t="s">
        <v>39</v>
      </c>
    </row>
    <row r="135" spans="1:24" x14ac:dyDescent="0.25">
      <c r="A135" t="s">
        <v>243</v>
      </c>
      <c r="B135" t="s">
        <v>239</v>
      </c>
      <c r="C135" t="s">
        <v>212</v>
      </c>
      <c r="D135" s="1">
        <v>46314</v>
      </c>
      <c r="E135" t="s">
        <v>102</v>
      </c>
      <c r="F135" t="s">
        <v>103</v>
      </c>
      <c r="G135" t="s">
        <v>104</v>
      </c>
      <c r="H135" t="s">
        <v>105</v>
      </c>
      <c r="I135" t="s">
        <v>31</v>
      </c>
      <c r="J135" t="s">
        <v>42</v>
      </c>
      <c r="K135" t="s">
        <v>43</v>
      </c>
      <c r="L135" t="s">
        <v>58</v>
      </c>
      <c r="M135" t="s">
        <v>35</v>
      </c>
      <c r="N135">
        <v>4</v>
      </c>
      <c r="O135">
        <v>5</v>
      </c>
      <c r="P135">
        <v>5</v>
      </c>
      <c r="Q135">
        <v>5</v>
      </c>
      <c r="R135" t="s">
        <v>51</v>
      </c>
      <c r="S135">
        <v>3</v>
      </c>
      <c r="T135">
        <v>10</v>
      </c>
      <c r="U135" t="s">
        <v>37</v>
      </c>
      <c r="V135" t="s">
        <v>52</v>
      </c>
      <c r="W135" s="2">
        <v>46314.763194444444</v>
      </c>
      <c r="X135" t="s">
        <v>39</v>
      </c>
    </row>
    <row r="136" spans="1:24" x14ac:dyDescent="0.25">
      <c r="A136" t="s">
        <v>244</v>
      </c>
      <c r="B136" t="s">
        <v>239</v>
      </c>
      <c r="C136" t="s">
        <v>212</v>
      </c>
      <c r="D136" s="1">
        <v>46314</v>
      </c>
      <c r="E136" t="s">
        <v>102</v>
      </c>
      <c r="F136" t="s">
        <v>103</v>
      </c>
      <c r="G136" t="s">
        <v>104</v>
      </c>
      <c r="H136" t="s">
        <v>105</v>
      </c>
      <c r="I136" t="s">
        <v>31</v>
      </c>
      <c r="J136" t="s">
        <v>86</v>
      </c>
      <c r="K136" t="s">
        <v>43</v>
      </c>
      <c r="L136" t="s">
        <v>34</v>
      </c>
      <c r="M136" t="s">
        <v>45</v>
      </c>
      <c r="N136">
        <v>3</v>
      </c>
      <c r="O136">
        <v>4</v>
      </c>
      <c r="P136">
        <v>3</v>
      </c>
      <c r="Q136">
        <v>3</v>
      </c>
      <c r="R136" t="s">
        <v>51</v>
      </c>
      <c r="S136">
        <v>4</v>
      </c>
      <c r="T136">
        <v>6</v>
      </c>
      <c r="U136" t="s">
        <v>45</v>
      </c>
      <c r="V136" t="s">
        <v>167</v>
      </c>
      <c r="W136" s="2">
        <v>46315.277777777781</v>
      </c>
      <c r="X136" t="s">
        <v>39</v>
      </c>
    </row>
    <row r="137" spans="1:24" x14ac:dyDescent="0.25">
      <c r="A137" t="s">
        <v>245</v>
      </c>
      <c r="B137" t="s">
        <v>239</v>
      </c>
      <c r="C137" t="s">
        <v>212</v>
      </c>
      <c r="D137" s="1">
        <v>46314</v>
      </c>
      <c r="E137" t="s">
        <v>102</v>
      </c>
      <c r="F137" t="s">
        <v>103</v>
      </c>
      <c r="G137" t="s">
        <v>104</v>
      </c>
      <c r="H137" t="s">
        <v>105</v>
      </c>
      <c r="I137" t="s">
        <v>31</v>
      </c>
      <c r="J137" t="s">
        <v>107</v>
      </c>
      <c r="K137" t="s">
        <v>65</v>
      </c>
      <c r="L137" t="s">
        <v>44</v>
      </c>
      <c r="M137" t="s">
        <v>45</v>
      </c>
      <c r="N137">
        <v>4</v>
      </c>
      <c r="O137">
        <v>4</v>
      </c>
      <c r="P137">
        <v>3</v>
      </c>
      <c r="Q137">
        <v>3</v>
      </c>
      <c r="R137" t="s">
        <v>36</v>
      </c>
      <c r="S137">
        <v>4</v>
      </c>
      <c r="T137">
        <v>7</v>
      </c>
      <c r="U137" t="s">
        <v>45</v>
      </c>
      <c r="V137" t="s">
        <v>74</v>
      </c>
      <c r="W137" s="2">
        <v>46316.697222222225</v>
      </c>
      <c r="X137" t="s">
        <v>39</v>
      </c>
    </row>
    <row r="138" spans="1:24" x14ac:dyDescent="0.25">
      <c r="A138" t="s">
        <v>246</v>
      </c>
      <c r="B138" t="s">
        <v>239</v>
      </c>
      <c r="C138" t="s">
        <v>212</v>
      </c>
      <c r="D138" s="1">
        <v>46314</v>
      </c>
      <c r="E138" t="s">
        <v>102</v>
      </c>
      <c r="F138" t="s">
        <v>103</v>
      </c>
      <c r="G138" t="s">
        <v>112</v>
      </c>
      <c r="H138" t="s">
        <v>105</v>
      </c>
      <c r="I138" t="s">
        <v>31</v>
      </c>
      <c r="J138" t="s">
        <v>94</v>
      </c>
      <c r="K138" t="s">
        <v>33</v>
      </c>
      <c r="L138" t="s">
        <v>44</v>
      </c>
      <c r="M138" t="s">
        <v>35</v>
      </c>
      <c r="N138">
        <v>5</v>
      </c>
      <c r="O138">
        <v>5</v>
      </c>
      <c r="P138">
        <v>5</v>
      </c>
      <c r="Q138">
        <v>5</v>
      </c>
      <c r="R138" t="s">
        <v>46</v>
      </c>
      <c r="S138">
        <v>5</v>
      </c>
      <c r="T138">
        <v>10</v>
      </c>
      <c r="U138" t="s">
        <v>45</v>
      </c>
      <c r="W138" s="2">
        <v>46314.501388888886</v>
      </c>
      <c r="X138" t="s">
        <v>39</v>
      </c>
    </row>
    <row r="139" spans="1:24" x14ac:dyDescent="0.25">
      <c r="A139" t="s">
        <v>247</v>
      </c>
      <c r="B139" t="s">
        <v>239</v>
      </c>
      <c r="C139" t="s">
        <v>212</v>
      </c>
      <c r="D139" s="1">
        <v>46314</v>
      </c>
      <c r="E139" t="s">
        <v>102</v>
      </c>
      <c r="F139" t="s">
        <v>103</v>
      </c>
      <c r="G139" t="s">
        <v>112</v>
      </c>
      <c r="H139" t="s">
        <v>105</v>
      </c>
      <c r="I139" t="s">
        <v>31</v>
      </c>
      <c r="J139" t="s">
        <v>163</v>
      </c>
      <c r="K139" t="s">
        <v>138</v>
      </c>
      <c r="L139" t="s">
        <v>44</v>
      </c>
      <c r="M139" t="s">
        <v>45</v>
      </c>
      <c r="N139">
        <v>4</v>
      </c>
      <c r="O139">
        <v>4</v>
      </c>
      <c r="P139">
        <v>5</v>
      </c>
      <c r="Q139">
        <v>5</v>
      </c>
      <c r="R139" t="s">
        <v>51</v>
      </c>
      <c r="S139">
        <v>5</v>
      </c>
      <c r="T139">
        <v>10</v>
      </c>
      <c r="U139" t="s">
        <v>37</v>
      </c>
      <c r="V139" t="s">
        <v>38</v>
      </c>
      <c r="W139" s="2">
        <v>46314.680555555555</v>
      </c>
      <c r="X139" t="s">
        <v>39</v>
      </c>
    </row>
    <row r="140" spans="1:24" x14ac:dyDescent="0.25">
      <c r="A140" t="s">
        <v>248</v>
      </c>
      <c r="B140" t="s">
        <v>239</v>
      </c>
      <c r="C140" t="s">
        <v>212</v>
      </c>
      <c r="D140" s="1">
        <v>46314</v>
      </c>
      <c r="E140" t="s">
        <v>102</v>
      </c>
      <c r="F140" t="s">
        <v>103</v>
      </c>
      <c r="G140" t="s">
        <v>112</v>
      </c>
      <c r="H140" t="s">
        <v>105</v>
      </c>
      <c r="I140" t="s">
        <v>31</v>
      </c>
      <c r="J140" t="s">
        <v>94</v>
      </c>
      <c r="K140" t="s">
        <v>65</v>
      </c>
      <c r="L140" t="s">
        <v>58</v>
      </c>
      <c r="M140" t="s">
        <v>35</v>
      </c>
      <c r="N140">
        <v>4</v>
      </c>
      <c r="O140">
        <v>3</v>
      </c>
      <c r="P140">
        <v>2</v>
      </c>
      <c r="Q140">
        <v>2</v>
      </c>
      <c r="R140" t="s">
        <v>36</v>
      </c>
      <c r="S140">
        <v>5</v>
      </c>
      <c r="T140">
        <v>5</v>
      </c>
      <c r="U140" t="s">
        <v>37</v>
      </c>
      <c r="V140" t="s">
        <v>69</v>
      </c>
      <c r="W140" s="2">
        <v>46315.453472222223</v>
      </c>
      <c r="X140" t="s">
        <v>39</v>
      </c>
    </row>
    <row r="141" spans="1:24" x14ac:dyDescent="0.25">
      <c r="A141" t="s">
        <v>249</v>
      </c>
      <c r="B141" t="s">
        <v>239</v>
      </c>
      <c r="C141" t="s">
        <v>212</v>
      </c>
      <c r="D141" s="1">
        <v>46314</v>
      </c>
      <c r="E141" t="s">
        <v>102</v>
      </c>
      <c r="F141" t="s">
        <v>103</v>
      </c>
      <c r="G141" t="s">
        <v>104</v>
      </c>
      <c r="H141" t="s">
        <v>105</v>
      </c>
      <c r="I141" t="s">
        <v>31</v>
      </c>
      <c r="J141" t="s">
        <v>163</v>
      </c>
      <c r="K141" t="s">
        <v>65</v>
      </c>
      <c r="L141" t="s">
        <v>44</v>
      </c>
      <c r="M141" t="s">
        <v>45</v>
      </c>
      <c r="N141">
        <v>4</v>
      </c>
      <c r="O141">
        <v>4</v>
      </c>
      <c r="P141">
        <v>3</v>
      </c>
      <c r="Q141">
        <v>4</v>
      </c>
      <c r="R141" t="s">
        <v>36</v>
      </c>
      <c r="S141">
        <v>3</v>
      </c>
      <c r="T141">
        <v>8</v>
      </c>
      <c r="U141" t="s">
        <v>37</v>
      </c>
      <c r="V141" t="s">
        <v>74</v>
      </c>
      <c r="W141" s="2">
        <v>46315.308333333334</v>
      </c>
      <c r="X141" t="s">
        <v>39</v>
      </c>
    </row>
    <row r="142" spans="1:24" x14ac:dyDescent="0.25">
      <c r="A142" t="s">
        <v>250</v>
      </c>
      <c r="B142" t="s">
        <v>239</v>
      </c>
      <c r="C142" t="s">
        <v>212</v>
      </c>
      <c r="D142" s="1">
        <v>46314</v>
      </c>
      <c r="E142" t="s">
        <v>102</v>
      </c>
      <c r="F142" t="s">
        <v>103</v>
      </c>
      <c r="G142" t="s">
        <v>112</v>
      </c>
      <c r="H142" t="s">
        <v>105</v>
      </c>
      <c r="I142" t="s">
        <v>31</v>
      </c>
      <c r="J142" t="s">
        <v>86</v>
      </c>
      <c r="K142" t="s">
        <v>43</v>
      </c>
      <c r="L142" t="s">
        <v>34</v>
      </c>
      <c r="M142" t="s">
        <v>45</v>
      </c>
      <c r="N142">
        <v>3</v>
      </c>
      <c r="O142">
        <v>4</v>
      </c>
      <c r="P142">
        <v>3</v>
      </c>
      <c r="Q142">
        <v>4</v>
      </c>
      <c r="R142" t="s">
        <v>51</v>
      </c>
      <c r="S142">
        <v>4</v>
      </c>
      <c r="T142">
        <v>8</v>
      </c>
      <c r="U142" t="s">
        <v>45</v>
      </c>
      <c r="V142" t="s">
        <v>74</v>
      </c>
      <c r="W142" s="2">
        <v>46314.658333333333</v>
      </c>
      <c r="X142" t="s">
        <v>39</v>
      </c>
    </row>
    <row r="143" spans="1:24" x14ac:dyDescent="0.25">
      <c r="A143" t="s">
        <v>251</v>
      </c>
      <c r="B143" t="s">
        <v>239</v>
      </c>
      <c r="C143" t="s">
        <v>212</v>
      </c>
      <c r="D143" s="1">
        <v>46314</v>
      </c>
      <c r="E143" t="s">
        <v>102</v>
      </c>
      <c r="F143" t="s">
        <v>103</v>
      </c>
      <c r="G143" t="s">
        <v>112</v>
      </c>
      <c r="H143" t="s">
        <v>105</v>
      </c>
      <c r="I143" t="s">
        <v>31</v>
      </c>
      <c r="J143" t="s">
        <v>42</v>
      </c>
      <c r="K143" t="s">
        <v>55</v>
      </c>
      <c r="L143" t="s">
        <v>58</v>
      </c>
      <c r="M143" t="s">
        <v>45</v>
      </c>
      <c r="N143">
        <v>5</v>
      </c>
      <c r="O143">
        <v>3</v>
      </c>
      <c r="P143">
        <v>4</v>
      </c>
      <c r="Q143">
        <v>4</v>
      </c>
      <c r="R143" t="s">
        <v>36</v>
      </c>
      <c r="S143">
        <v>5</v>
      </c>
      <c r="T143">
        <v>7</v>
      </c>
      <c r="U143" t="s">
        <v>45</v>
      </c>
      <c r="V143" t="s">
        <v>38</v>
      </c>
      <c r="W143" s="2">
        <v>46314.513888888891</v>
      </c>
      <c r="X143" t="s">
        <v>39</v>
      </c>
    </row>
    <row r="144" spans="1:24" x14ac:dyDescent="0.25">
      <c r="A144" t="s">
        <v>252</v>
      </c>
      <c r="B144" t="s">
        <v>239</v>
      </c>
      <c r="C144" t="s">
        <v>212</v>
      </c>
      <c r="D144" s="1">
        <v>46314</v>
      </c>
      <c r="E144" t="s">
        <v>102</v>
      </c>
      <c r="F144" t="s">
        <v>103</v>
      </c>
      <c r="G144" t="s">
        <v>112</v>
      </c>
      <c r="H144" t="s">
        <v>105</v>
      </c>
      <c r="I144" t="s">
        <v>31</v>
      </c>
      <c r="J144" t="s">
        <v>86</v>
      </c>
      <c r="K144" t="s">
        <v>55</v>
      </c>
      <c r="L144" t="s">
        <v>58</v>
      </c>
      <c r="M144" t="s">
        <v>45</v>
      </c>
      <c r="N144">
        <v>3</v>
      </c>
      <c r="O144">
        <v>3</v>
      </c>
      <c r="P144">
        <v>2</v>
      </c>
      <c r="Q144">
        <v>4</v>
      </c>
      <c r="R144" t="s">
        <v>51</v>
      </c>
      <c r="S144">
        <v>4</v>
      </c>
      <c r="T144">
        <v>7</v>
      </c>
      <c r="U144" t="s">
        <v>35</v>
      </c>
      <c r="V144" t="s">
        <v>167</v>
      </c>
      <c r="W144" s="2">
        <v>46315.509027777778</v>
      </c>
      <c r="X144" t="s">
        <v>39</v>
      </c>
    </row>
    <row r="145" spans="1:24" x14ac:dyDescent="0.25">
      <c r="A145" t="s">
        <v>253</v>
      </c>
      <c r="B145" t="s">
        <v>254</v>
      </c>
      <c r="C145" t="s">
        <v>255</v>
      </c>
      <c r="D145" s="1">
        <v>46316</v>
      </c>
      <c r="E145" t="s">
        <v>27</v>
      </c>
      <c r="F145" t="s">
        <v>28</v>
      </c>
      <c r="G145" t="s">
        <v>132</v>
      </c>
      <c r="H145" t="s">
        <v>30</v>
      </c>
      <c r="I145" t="s">
        <v>31</v>
      </c>
      <c r="J145" t="s">
        <v>98</v>
      </c>
      <c r="K145" t="s">
        <v>65</v>
      </c>
      <c r="L145" t="s">
        <v>44</v>
      </c>
      <c r="M145" t="s">
        <v>45</v>
      </c>
      <c r="N145">
        <v>2</v>
      </c>
      <c r="O145">
        <v>3</v>
      </c>
      <c r="P145">
        <v>2</v>
      </c>
      <c r="Q145">
        <v>2</v>
      </c>
      <c r="R145" t="s">
        <v>36</v>
      </c>
      <c r="S145">
        <v>1</v>
      </c>
      <c r="T145">
        <v>4</v>
      </c>
      <c r="U145" t="s">
        <v>45</v>
      </c>
      <c r="V145" t="s">
        <v>134</v>
      </c>
      <c r="W145" s="2">
        <v>46318.604166666664</v>
      </c>
      <c r="X145" t="s">
        <v>39</v>
      </c>
    </row>
    <row r="146" spans="1:24" x14ac:dyDescent="0.25">
      <c r="A146" t="s">
        <v>256</v>
      </c>
      <c r="B146" t="s">
        <v>254</v>
      </c>
      <c r="C146" t="s">
        <v>255</v>
      </c>
      <c r="D146" s="1">
        <v>46316</v>
      </c>
      <c r="E146" t="s">
        <v>27</v>
      </c>
      <c r="F146" t="s">
        <v>28</v>
      </c>
      <c r="G146" t="s">
        <v>132</v>
      </c>
      <c r="H146" t="s">
        <v>30</v>
      </c>
      <c r="I146" t="s">
        <v>31</v>
      </c>
      <c r="J146" t="s">
        <v>32</v>
      </c>
      <c r="K146" t="s">
        <v>33</v>
      </c>
      <c r="L146" t="s">
        <v>34</v>
      </c>
      <c r="M146" t="s">
        <v>45</v>
      </c>
      <c r="N146">
        <v>4</v>
      </c>
      <c r="O146">
        <v>4</v>
      </c>
      <c r="P146">
        <v>4</v>
      </c>
      <c r="Q146">
        <v>4</v>
      </c>
      <c r="R146" t="s">
        <v>51</v>
      </c>
      <c r="S146">
        <v>4</v>
      </c>
      <c r="T146">
        <v>8</v>
      </c>
      <c r="U146" t="s">
        <v>45</v>
      </c>
      <c r="V146" t="s">
        <v>38</v>
      </c>
      <c r="W146" s="2">
        <v>46316.772222222222</v>
      </c>
      <c r="X146" t="s">
        <v>39</v>
      </c>
    </row>
    <row r="147" spans="1:24" x14ac:dyDescent="0.25">
      <c r="A147" t="s">
        <v>257</v>
      </c>
      <c r="B147" t="s">
        <v>254</v>
      </c>
      <c r="C147" t="s">
        <v>255</v>
      </c>
      <c r="D147" s="1">
        <v>46316</v>
      </c>
      <c r="E147" t="s">
        <v>27</v>
      </c>
      <c r="F147" t="s">
        <v>28</v>
      </c>
      <c r="G147" t="s">
        <v>49</v>
      </c>
      <c r="H147" t="s">
        <v>30</v>
      </c>
      <c r="I147" t="s">
        <v>31</v>
      </c>
      <c r="J147" t="s">
        <v>32</v>
      </c>
      <c r="K147" t="s">
        <v>43</v>
      </c>
      <c r="L147" t="s">
        <v>44</v>
      </c>
      <c r="M147" t="s">
        <v>45</v>
      </c>
      <c r="N147">
        <v>5</v>
      </c>
      <c r="O147">
        <v>5</v>
      </c>
      <c r="P147">
        <v>5</v>
      </c>
      <c r="Q147">
        <v>5</v>
      </c>
      <c r="R147" t="s">
        <v>51</v>
      </c>
      <c r="S147">
        <v>3</v>
      </c>
      <c r="T147">
        <v>10</v>
      </c>
      <c r="U147" t="s">
        <v>35</v>
      </c>
      <c r="V147" t="s">
        <v>121</v>
      </c>
      <c r="W147" s="2">
        <v>46317.381944444445</v>
      </c>
      <c r="X147" t="s">
        <v>39</v>
      </c>
    </row>
    <row r="148" spans="1:24" x14ac:dyDescent="0.25">
      <c r="A148" t="s">
        <v>258</v>
      </c>
      <c r="B148" t="s">
        <v>254</v>
      </c>
      <c r="C148" t="s">
        <v>255</v>
      </c>
      <c r="D148" s="1">
        <v>46316</v>
      </c>
      <c r="E148" t="s">
        <v>27</v>
      </c>
      <c r="F148" t="s">
        <v>28</v>
      </c>
      <c r="G148" t="s">
        <v>29</v>
      </c>
      <c r="H148" t="s">
        <v>30</v>
      </c>
      <c r="I148" t="s">
        <v>31</v>
      </c>
      <c r="J148" t="s">
        <v>42</v>
      </c>
      <c r="K148" t="s">
        <v>43</v>
      </c>
      <c r="L148" t="s">
        <v>72</v>
      </c>
      <c r="M148" t="s">
        <v>45</v>
      </c>
      <c r="N148">
        <v>5</v>
      </c>
      <c r="O148">
        <v>5</v>
      </c>
      <c r="P148">
        <v>5</v>
      </c>
      <c r="Q148">
        <v>5</v>
      </c>
      <c r="R148" t="s">
        <v>36</v>
      </c>
      <c r="S148">
        <v>4</v>
      </c>
      <c r="T148">
        <v>9</v>
      </c>
      <c r="U148" t="s">
        <v>35</v>
      </c>
      <c r="V148" t="s">
        <v>38</v>
      </c>
      <c r="W148" s="2">
        <v>46316.67083333333</v>
      </c>
      <c r="X148" t="s">
        <v>39</v>
      </c>
    </row>
    <row r="149" spans="1:24" x14ac:dyDescent="0.25">
      <c r="A149" t="s">
        <v>259</v>
      </c>
      <c r="B149" t="s">
        <v>254</v>
      </c>
      <c r="C149" t="s">
        <v>255</v>
      </c>
      <c r="D149" s="1">
        <v>46316</v>
      </c>
      <c r="E149" t="s">
        <v>27</v>
      </c>
      <c r="F149" t="s">
        <v>28</v>
      </c>
      <c r="G149" t="s">
        <v>132</v>
      </c>
      <c r="H149" t="s">
        <v>30</v>
      </c>
      <c r="I149" t="s">
        <v>31</v>
      </c>
      <c r="J149" t="s">
        <v>163</v>
      </c>
      <c r="K149" t="s">
        <v>138</v>
      </c>
      <c r="L149" t="s">
        <v>67</v>
      </c>
      <c r="M149" t="s">
        <v>45</v>
      </c>
      <c r="N149">
        <v>4</v>
      </c>
      <c r="O149">
        <v>4</v>
      </c>
      <c r="P149">
        <v>3</v>
      </c>
      <c r="Q149">
        <v>4</v>
      </c>
      <c r="R149" t="s">
        <v>51</v>
      </c>
      <c r="S149">
        <v>4</v>
      </c>
      <c r="T149">
        <v>8</v>
      </c>
      <c r="U149" t="s">
        <v>45</v>
      </c>
      <c r="W149" s="2">
        <v>46317.236111111109</v>
      </c>
      <c r="X149" t="s">
        <v>39</v>
      </c>
    </row>
    <row r="150" spans="1:24" x14ac:dyDescent="0.25">
      <c r="A150" t="s">
        <v>260</v>
      </c>
      <c r="B150" t="s">
        <v>254</v>
      </c>
      <c r="C150" t="s">
        <v>255</v>
      </c>
      <c r="D150" s="1">
        <v>46316</v>
      </c>
      <c r="E150" t="s">
        <v>27</v>
      </c>
      <c r="F150" t="s">
        <v>28</v>
      </c>
      <c r="G150" t="s">
        <v>132</v>
      </c>
      <c r="H150" t="s">
        <v>30</v>
      </c>
      <c r="I150" t="s">
        <v>31</v>
      </c>
      <c r="J150" t="s">
        <v>50</v>
      </c>
      <c r="K150" t="s">
        <v>65</v>
      </c>
      <c r="L150" t="s">
        <v>34</v>
      </c>
      <c r="M150" t="s">
        <v>45</v>
      </c>
      <c r="N150">
        <v>4</v>
      </c>
      <c r="O150">
        <v>4</v>
      </c>
      <c r="P150">
        <v>4</v>
      </c>
      <c r="Q150">
        <v>4</v>
      </c>
      <c r="R150" t="s">
        <v>36</v>
      </c>
      <c r="S150">
        <v>5</v>
      </c>
      <c r="T150">
        <v>8</v>
      </c>
      <c r="U150" t="s">
        <v>45</v>
      </c>
      <c r="V150" t="s">
        <v>52</v>
      </c>
      <c r="W150" s="2">
        <v>46317.549305555556</v>
      </c>
      <c r="X150" t="s">
        <v>39</v>
      </c>
    </row>
    <row r="151" spans="1:24" x14ac:dyDescent="0.25">
      <c r="A151" t="s">
        <v>261</v>
      </c>
      <c r="B151" t="s">
        <v>254</v>
      </c>
      <c r="C151" t="s">
        <v>255</v>
      </c>
      <c r="D151" s="1">
        <v>46316</v>
      </c>
      <c r="E151" t="s">
        <v>27</v>
      </c>
      <c r="F151" t="s">
        <v>28</v>
      </c>
      <c r="G151" t="s">
        <v>54</v>
      </c>
      <c r="H151" t="s">
        <v>30</v>
      </c>
      <c r="I151" t="s">
        <v>31</v>
      </c>
      <c r="J151" t="s">
        <v>42</v>
      </c>
      <c r="K151" t="s">
        <v>138</v>
      </c>
      <c r="L151" t="s">
        <v>67</v>
      </c>
      <c r="M151" t="s">
        <v>45</v>
      </c>
      <c r="O151">
        <v>3</v>
      </c>
      <c r="P151">
        <v>3</v>
      </c>
      <c r="Q151">
        <v>3</v>
      </c>
      <c r="R151" t="s">
        <v>36</v>
      </c>
      <c r="S151">
        <v>5</v>
      </c>
      <c r="T151">
        <v>6</v>
      </c>
      <c r="U151" t="s">
        <v>45</v>
      </c>
      <c r="V151" t="s">
        <v>130</v>
      </c>
      <c r="W151" s="2">
        <v>46318.447222222225</v>
      </c>
      <c r="X151" t="s">
        <v>39</v>
      </c>
    </row>
    <row r="152" spans="1:24" x14ac:dyDescent="0.25">
      <c r="A152" t="s">
        <v>262</v>
      </c>
      <c r="B152" t="s">
        <v>254</v>
      </c>
      <c r="C152" t="s">
        <v>255</v>
      </c>
      <c r="D152" s="1">
        <v>46316</v>
      </c>
      <c r="E152" t="s">
        <v>27</v>
      </c>
      <c r="F152" t="s">
        <v>28</v>
      </c>
      <c r="G152" t="s">
        <v>29</v>
      </c>
      <c r="H152" t="s">
        <v>30</v>
      </c>
      <c r="I152" t="s">
        <v>31</v>
      </c>
      <c r="J152" t="s">
        <v>163</v>
      </c>
      <c r="K152" t="s">
        <v>65</v>
      </c>
      <c r="L152" t="s">
        <v>34</v>
      </c>
      <c r="M152" t="s">
        <v>35</v>
      </c>
      <c r="N152">
        <v>4</v>
      </c>
      <c r="O152">
        <v>4</v>
      </c>
      <c r="P152">
        <v>4</v>
      </c>
      <c r="Q152">
        <v>4</v>
      </c>
      <c r="R152" t="s">
        <v>51</v>
      </c>
      <c r="S152">
        <v>4</v>
      </c>
      <c r="T152">
        <v>6</v>
      </c>
      <c r="U152" t="s">
        <v>45</v>
      </c>
      <c r="V152" t="s">
        <v>62</v>
      </c>
      <c r="W152" s="2">
        <v>46316.678472222222</v>
      </c>
      <c r="X152" t="s">
        <v>39</v>
      </c>
    </row>
    <row r="153" spans="1:24" x14ac:dyDescent="0.25">
      <c r="A153" t="s">
        <v>263</v>
      </c>
      <c r="B153" t="s">
        <v>254</v>
      </c>
      <c r="C153" t="s">
        <v>255</v>
      </c>
      <c r="D153" s="1">
        <v>46316</v>
      </c>
      <c r="E153" t="s">
        <v>27</v>
      </c>
      <c r="F153" t="s">
        <v>28</v>
      </c>
      <c r="G153" t="s">
        <v>29</v>
      </c>
      <c r="H153" t="s">
        <v>30</v>
      </c>
      <c r="I153" t="s">
        <v>31</v>
      </c>
      <c r="J153" t="s">
        <v>107</v>
      </c>
      <c r="K153" t="s">
        <v>43</v>
      </c>
      <c r="L153" t="s">
        <v>44</v>
      </c>
      <c r="M153" t="s">
        <v>45</v>
      </c>
      <c r="N153">
        <v>5</v>
      </c>
      <c r="O153">
        <v>4</v>
      </c>
      <c r="P153">
        <v>5</v>
      </c>
      <c r="Q153">
        <v>4</v>
      </c>
      <c r="R153" t="s">
        <v>51</v>
      </c>
      <c r="S153">
        <v>5</v>
      </c>
      <c r="T153">
        <v>8</v>
      </c>
      <c r="U153" t="s">
        <v>37</v>
      </c>
      <c r="W153" s="2">
        <v>46316.693749999999</v>
      </c>
      <c r="X153" t="s">
        <v>39</v>
      </c>
    </row>
    <row r="154" spans="1:24" x14ac:dyDescent="0.25">
      <c r="A154" t="s">
        <v>264</v>
      </c>
      <c r="B154" t="s">
        <v>254</v>
      </c>
      <c r="C154" t="s">
        <v>255</v>
      </c>
      <c r="D154" s="1">
        <v>46316</v>
      </c>
      <c r="E154" t="s">
        <v>27</v>
      </c>
      <c r="F154" t="s">
        <v>28</v>
      </c>
      <c r="G154" t="s">
        <v>54</v>
      </c>
      <c r="H154" t="s">
        <v>30</v>
      </c>
      <c r="I154" t="s">
        <v>31</v>
      </c>
      <c r="J154" t="s">
        <v>81</v>
      </c>
      <c r="K154" t="s">
        <v>65</v>
      </c>
      <c r="L154" t="s">
        <v>67</v>
      </c>
      <c r="M154" t="s">
        <v>45</v>
      </c>
      <c r="N154">
        <v>5</v>
      </c>
      <c r="O154">
        <v>5</v>
      </c>
      <c r="P154">
        <v>5</v>
      </c>
      <c r="Q154">
        <v>5</v>
      </c>
      <c r="R154" t="s">
        <v>51</v>
      </c>
      <c r="S154">
        <v>4</v>
      </c>
      <c r="T154">
        <v>8</v>
      </c>
      <c r="U154" t="s">
        <v>45</v>
      </c>
      <c r="W154" s="2">
        <v>46316.738888888889</v>
      </c>
      <c r="X154" t="s">
        <v>39</v>
      </c>
    </row>
    <row r="155" spans="1:24" x14ac:dyDescent="0.25">
      <c r="A155" t="s">
        <v>265</v>
      </c>
      <c r="B155" t="s">
        <v>254</v>
      </c>
      <c r="C155" t="s">
        <v>255</v>
      </c>
      <c r="D155" s="1">
        <v>46316</v>
      </c>
      <c r="E155" t="s">
        <v>27</v>
      </c>
      <c r="F155" t="s">
        <v>28</v>
      </c>
      <c r="G155" t="s">
        <v>132</v>
      </c>
      <c r="H155" t="s">
        <v>30</v>
      </c>
      <c r="I155" t="s">
        <v>31</v>
      </c>
      <c r="J155" t="s">
        <v>98</v>
      </c>
      <c r="K155" t="s">
        <v>43</v>
      </c>
      <c r="L155" t="s">
        <v>44</v>
      </c>
      <c r="M155" t="s">
        <v>45</v>
      </c>
      <c r="N155">
        <v>3</v>
      </c>
      <c r="O155">
        <v>5</v>
      </c>
      <c r="P155">
        <v>4</v>
      </c>
      <c r="Q155">
        <v>4</v>
      </c>
      <c r="R155" t="s">
        <v>36</v>
      </c>
      <c r="S155">
        <v>5</v>
      </c>
      <c r="T155">
        <v>9</v>
      </c>
      <c r="U155" t="s">
        <v>37</v>
      </c>
      <c r="W155" s="2">
        <v>46317.636805555558</v>
      </c>
      <c r="X155" t="s">
        <v>39</v>
      </c>
    </row>
    <row r="156" spans="1:24" x14ac:dyDescent="0.25">
      <c r="A156" t="s">
        <v>266</v>
      </c>
      <c r="B156" t="s">
        <v>267</v>
      </c>
      <c r="C156" t="s">
        <v>255</v>
      </c>
      <c r="D156" s="1">
        <v>46317</v>
      </c>
      <c r="E156" t="s">
        <v>77</v>
      </c>
      <c r="F156" t="s">
        <v>78</v>
      </c>
      <c r="G156" t="s">
        <v>85</v>
      </c>
      <c r="H156" t="s">
        <v>80</v>
      </c>
      <c r="I156" t="s">
        <v>31</v>
      </c>
      <c r="J156" t="s">
        <v>61</v>
      </c>
      <c r="K156" t="s">
        <v>65</v>
      </c>
      <c r="L156" t="s">
        <v>67</v>
      </c>
      <c r="M156" t="s">
        <v>45</v>
      </c>
      <c r="N156">
        <v>3</v>
      </c>
      <c r="O156">
        <v>5</v>
      </c>
      <c r="P156">
        <v>4</v>
      </c>
      <c r="Q156">
        <v>4</v>
      </c>
      <c r="R156" t="s">
        <v>51</v>
      </c>
      <c r="S156">
        <v>4</v>
      </c>
      <c r="T156">
        <v>9</v>
      </c>
      <c r="U156" t="s">
        <v>35</v>
      </c>
      <c r="V156" t="s">
        <v>38</v>
      </c>
      <c r="W156" s="2">
        <v>46318.34375</v>
      </c>
      <c r="X156" t="s">
        <v>39</v>
      </c>
    </row>
    <row r="157" spans="1:24" x14ac:dyDescent="0.25">
      <c r="A157" t="s">
        <v>268</v>
      </c>
      <c r="B157" t="s">
        <v>267</v>
      </c>
      <c r="C157" t="s">
        <v>255</v>
      </c>
      <c r="D157" s="1">
        <v>46317</v>
      </c>
      <c r="E157" t="s">
        <v>77</v>
      </c>
      <c r="F157" t="s">
        <v>78</v>
      </c>
      <c r="G157" t="s">
        <v>83</v>
      </c>
      <c r="H157" t="s">
        <v>80</v>
      </c>
      <c r="I157" t="s">
        <v>31</v>
      </c>
      <c r="J157" t="s">
        <v>42</v>
      </c>
      <c r="K157" t="s">
        <v>33</v>
      </c>
      <c r="L157" t="s">
        <v>34</v>
      </c>
      <c r="M157" t="s">
        <v>45</v>
      </c>
      <c r="N157">
        <v>3</v>
      </c>
      <c r="O157">
        <v>5</v>
      </c>
      <c r="P157">
        <v>5</v>
      </c>
      <c r="Q157">
        <v>5</v>
      </c>
      <c r="R157" t="s">
        <v>51</v>
      </c>
      <c r="S157">
        <v>4</v>
      </c>
      <c r="T157">
        <v>8</v>
      </c>
      <c r="U157" t="s">
        <v>45</v>
      </c>
      <c r="V157" t="s">
        <v>121</v>
      </c>
      <c r="W157" s="2">
        <v>46317.520833333336</v>
      </c>
      <c r="X157" t="s">
        <v>39</v>
      </c>
    </row>
    <row r="158" spans="1:24" x14ac:dyDescent="0.25">
      <c r="A158" t="s">
        <v>269</v>
      </c>
      <c r="B158" t="s">
        <v>267</v>
      </c>
      <c r="C158" t="s">
        <v>255</v>
      </c>
      <c r="D158" s="1">
        <v>46317</v>
      </c>
      <c r="E158" t="s">
        <v>77</v>
      </c>
      <c r="F158" t="s">
        <v>78</v>
      </c>
      <c r="G158" t="s">
        <v>85</v>
      </c>
      <c r="H158" t="s">
        <v>80</v>
      </c>
      <c r="I158" t="s">
        <v>31</v>
      </c>
      <c r="J158" t="s">
        <v>42</v>
      </c>
      <c r="K158" t="s">
        <v>55</v>
      </c>
      <c r="L158" t="s">
        <v>72</v>
      </c>
      <c r="M158" t="s">
        <v>45</v>
      </c>
      <c r="N158">
        <v>3</v>
      </c>
      <c r="O158">
        <v>4</v>
      </c>
      <c r="P158">
        <v>4</v>
      </c>
      <c r="Q158">
        <v>4</v>
      </c>
      <c r="R158" t="s">
        <v>36</v>
      </c>
      <c r="S158">
        <v>4</v>
      </c>
      <c r="T158">
        <v>7</v>
      </c>
      <c r="U158" t="s">
        <v>37</v>
      </c>
      <c r="V158" t="s">
        <v>62</v>
      </c>
      <c r="W158" s="2">
        <v>46317.543749999997</v>
      </c>
      <c r="X158" t="s">
        <v>39</v>
      </c>
    </row>
    <row r="159" spans="1:24" x14ac:dyDescent="0.25">
      <c r="A159" t="s">
        <v>270</v>
      </c>
      <c r="B159" t="s">
        <v>267</v>
      </c>
      <c r="C159" t="s">
        <v>255</v>
      </c>
      <c r="D159" s="1">
        <v>46317</v>
      </c>
      <c r="E159" t="s">
        <v>77</v>
      </c>
      <c r="F159" t="s">
        <v>78</v>
      </c>
      <c r="G159" t="s">
        <v>79</v>
      </c>
      <c r="H159" t="s">
        <v>80</v>
      </c>
      <c r="I159" t="s">
        <v>31</v>
      </c>
      <c r="J159" t="s">
        <v>71</v>
      </c>
      <c r="K159" t="s">
        <v>138</v>
      </c>
      <c r="L159" t="s">
        <v>44</v>
      </c>
      <c r="M159" t="s">
        <v>45</v>
      </c>
      <c r="N159">
        <v>2</v>
      </c>
      <c r="O159">
        <v>2</v>
      </c>
      <c r="P159">
        <v>3</v>
      </c>
      <c r="Q159">
        <v>3</v>
      </c>
      <c r="R159" t="s">
        <v>51</v>
      </c>
      <c r="S159">
        <v>5</v>
      </c>
      <c r="T159">
        <v>5</v>
      </c>
      <c r="U159" t="s">
        <v>45</v>
      </c>
      <c r="V159" t="s">
        <v>108</v>
      </c>
      <c r="W159" s="2">
        <v>46317.73333333333</v>
      </c>
      <c r="X159" t="s">
        <v>39</v>
      </c>
    </row>
    <row r="160" spans="1:24" x14ac:dyDescent="0.25">
      <c r="A160" t="s">
        <v>271</v>
      </c>
      <c r="B160" t="s">
        <v>267</v>
      </c>
      <c r="C160" t="s">
        <v>255</v>
      </c>
      <c r="D160" s="1">
        <v>46317</v>
      </c>
      <c r="E160" t="s">
        <v>77</v>
      </c>
      <c r="F160" t="s">
        <v>78</v>
      </c>
      <c r="G160" t="s">
        <v>85</v>
      </c>
      <c r="H160" t="s">
        <v>80</v>
      </c>
      <c r="I160" t="s">
        <v>31</v>
      </c>
      <c r="J160" t="s">
        <v>50</v>
      </c>
      <c r="K160" t="s">
        <v>65</v>
      </c>
      <c r="L160" t="s">
        <v>34</v>
      </c>
      <c r="M160" t="s">
        <v>45</v>
      </c>
      <c r="N160">
        <v>4</v>
      </c>
      <c r="P160">
        <v>3</v>
      </c>
      <c r="Q160">
        <v>4</v>
      </c>
      <c r="R160" t="s">
        <v>51</v>
      </c>
      <c r="S160">
        <v>5</v>
      </c>
      <c r="T160">
        <v>8</v>
      </c>
      <c r="U160" t="s">
        <v>45</v>
      </c>
      <c r="W160" s="2">
        <v>46318.59652777778</v>
      </c>
      <c r="X160" t="s">
        <v>39</v>
      </c>
    </row>
    <row r="161" spans="1:24" x14ac:dyDescent="0.25">
      <c r="A161" t="s">
        <v>272</v>
      </c>
      <c r="B161" t="s">
        <v>267</v>
      </c>
      <c r="C161" t="s">
        <v>255</v>
      </c>
      <c r="D161" s="1">
        <v>46317</v>
      </c>
      <c r="E161" t="s">
        <v>77</v>
      </c>
      <c r="F161" t="s">
        <v>78</v>
      </c>
      <c r="G161" t="s">
        <v>79</v>
      </c>
      <c r="H161" t="s">
        <v>80</v>
      </c>
      <c r="I161" t="s">
        <v>31</v>
      </c>
      <c r="J161" t="s">
        <v>94</v>
      </c>
      <c r="K161" t="s">
        <v>55</v>
      </c>
      <c r="L161" t="s">
        <v>67</v>
      </c>
      <c r="M161" t="s">
        <v>45</v>
      </c>
      <c r="N161">
        <v>3</v>
      </c>
      <c r="O161">
        <v>3</v>
      </c>
      <c r="P161">
        <v>3</v>
      </c>
      <c r="Q161">
        <v>3</v>
      </c>
      <c r="R161" t="s">
        <v>51</v>
      </c>
      <c r="S161">
        <v>3</v>
      </c>
      <c r="T161">
        <v>6</v>
      </c>
      <c r="U161" t="s">
        <v>45</v>
      </c>
      <c r="W161" s="2">
        <v>46317.569444444445</v>
      </c>
      <c r="X161" t="s">
        <v>39</v>
      </c>
    </row>
    <row r="162" spans="1:24" x14ac:dyDescent="0.25">
      <c r="A162" t="s">
        <v>273</v>
      </c>
      <c r="B162" t="s">
        <v>267</v>
      </c>
      <c r="C162" t="s">
        <v>255</v>
      </c>
      <c r="D162" s="1">
        <v>46317</v>
      </c>
      <c r="E162" t="s">
        <v>77</v>
      </c>
      <c r="F162" t="s">
        <v>78</v>
      </c>
      <c r="G162" t="s">
        <v>79</v>
      </c>
      <c r="H162" t="s">
        <v>80</v>
      </c>
      <c r="I162" t="s">
        <v>31</v>
      </c>
      <c r="J162" t="s">
        <v>32</v>
      </c>
      <c r="K162" t="s">
        <v>43</v>
      </c>
      <c r="L162" t="s">
        <v>72</v>
      </c>
      <c r="M162" t="s">
        <v>45</v>
      </c>
      <c r="N162">
        <v>5</v>
      </c>
      <c r="O162">
        <v>4</v>
      </c>
      <c r="P162">
        <v>4</v>
      </c>
      <c r="Q162">
        <v>4</v>
      </c>
      <c r="R162" t="s">
        <v>51</v>
      </c>
      <c r="S162">
        <v>4</v>
      </c>
      <c r="T162">
        <v>9</v>
      </c>
      <c r="U162" t="s">
        <v>45</v>
      </c>
      <c r="V162" t="s">
        <v>147</v>
      </c>
      <c r="W162" s="2">
        <v>46317.636805555558</v>
      </c>
      <c r="X162" t="s">
        <v>39</v>
      </c>
    </row>
    <row r="163" spans="1:24" x14ac:dyDescent="0.25">
      <c r="A163" t="s">
        <v>274</v>
      </c>
      <c r="B163" t="s">
        <v>267</v>
      </c>
      <c r="C163" t="s">
        <v>255</v>
      </c>
      <c r="D163" s="1">
        <v>46317</v>
      </c>
      <c r="E163" t="s">
        <v>77</v>
      </c>
      <c r="F163" t="s">
        <v>78</v>
      </c>
      <c r="G163" t="s">
        <v>79</v>
      </c>
      <c r="H163" t="s">
        <v>80</v>
      </c>
      <c r="I163" t="s">
        <v>31</v>
      </c>
      <c r="J163" t="s">
        <v>81</v>
      </c>
      <c r="K163" t="s">
        <v>65</v>
      </c>
      <c r="L163" t="s">
        <v>44</v>
      </c>
      <c r="M163" t="s">
        <v>35</v>
      </c>
      <c r="N163">
        <v>5</v>
      </c>
      <c r="O163">
        <v>4</v>
      </c>
      <c r="P163">
        <v>4</v>
      </c>
      <c r="Q163">
        <v>5</v>
      </c>
      <c r="R163" t="s">
        <v>51</v>
      </c>
      <c r="S163">
        <v>5</v>
      </c>
      <c r="T163">
        <v>9</v>
      </c>
      <c r="U163" t="s">
        <v>45</v>
      </c>
      <c r="V163" t="s">
        <v>91</v>
      </c>
      <c r="W163" s="2">
        <v>46317.513194444444</v>
      </c>
      <c r="X163" t="s">
        <v>39</v>
      </c>
    </row>
    <row r="164" spans="1:24" x14ac:dyDescent="0.25">
      <c r="A164" t="s">
        <v>275</v>
      </c>
      <c r="B164" t="s">
        <v>267</v>
      </c>
      <c r="C164" t="s">
        <v>255</v>
      </c>
      <c r="D164" s="1">
        <v>46317</v>
      </c>
      <c r="E164" t="s">
        <v>77</v>
      </c>
      <c r="F164" t="s">
        <v>78</v>
      </c>
      <c r="G164" t="s">
        <v>85</v>
      </c>
      <c r="H164" t="s">
        <v>80</v>
      </c>
      <c r="I164" t="s">
        <v>31</v>
      </c>
      <c r="J164" t="s">
        <v>98</v>
      </c>
      <c r="K164" t="s">
        <v>138</v>
      </c>
      <c r="L164" t="s">
        <v>58</v>
      </c>
      <c r="M164" t="s">
        <v>45</v>
      </c>
      <c r="N164">
        <v>4</v>
      </c>
      <c r="O164">
        <v>5</v>
      </c>
      <c r="P164">
        <v>4</v>
      </c>
      <c r="Q164">
        <v>5</v>
      </c>
      <c r="R164" t="s">
        <v>51</v>
      </c>
      <c r="S164">
        <v>5</v>
      </c>
      <c r="T164">
        <v>10</v>
      </c>
      <c r="U164" t="s">
        <v>45</v>
      </c>
      <c r="V164" t="s">
        <v>38</v>
      </c>
      <c r="W164" s="2">
        <v>46319.499305555553</v>
      </c>
      <c r="X164" t="s">
        <v>39</v>
      </c>
    </row>
    <row r="165" spans="1:24" x14ac:dyDescent="0.25">
      <c r="A165" t="s">
        <v>276</v>
      </c>
      <c r="B165" t="s">
        <v>267</v>
      </c>
      <c r="C165" t="s">
        <v>255</v>
      </c>
      <c r="D165" s="1">
        <v>46317</v>
      </c>
      <c r="E165" t="s">
        <v>77</v>
      </c>
      <c r="F165" t="s">
        <v>78</v>
      </c>
      <c r="G165" t="s">
        <v>85</v>
      </c>
      <c r="H165" t="s">
        <v>80</v>
      </c>
      <c r="I165" t="s">
        <v>31</v>
      </c>
      <c r="J165" t="s">
        <v>42</v>
      </c>
      <c r="K165" t="s">
        <v>138</v>
      </c>
      <c r="L165" t="s">
        <v>72</v>
      </c>
      <c r="M165" t="s">
        <v>45</v>
      </c>
      <c r="N165">
        <v>5</v>
      </c>
      <c r="O165">
        <v>5</v>
      </c>
      <c r="P165">
        <v>5</v>
      </c>
      <c r="Q165">
        <v>4</v>
      </c>
      <c r="R165" t="s">
        <v>51</v>
      </c>
      <c r="S165">
        <v>4</v>
      </c>
      <c r="T165">
        <v>9</v>
      </c>
      <c r="U165" t="s">
        <v>45</v>
      </c>
      <c r="V165" t="s">
        <v>74</v>
      </c>
      <c r="W165" s="2">
        <v>46317.632638888892</v>
      </c>
      <c r="X165" t="s">
        <v>39</v>
      </c>
    </row>
    <row r="166" spans="1:24" x14ac:dyDescent="0.25">
      <c r="A166" t="s">
        <v>277</v>
      </c>
      <c r="B166" t="s">
        <v>267</v>
      </c>
      <c r="C166" t="s">
        <v>255</v>
      </c>
      <c r="D166" s="1">
        <v>46317</v>
      </c>
      <c r="E166" t="s">
        <v>77</v>
      </c>
      <c r="F166" t="s">
        <v>78</v>
      </c>
      <c r="G166" t="s">
        <v>85</v>
      </c>
      <c r="H166" t="s">
        <v>80</v>
      </c>
      <c r="I166" t="s">
        <v>31</v>
      </c>
      <c r="J166" t="s">
        <v>94</v>
      </c>
      <c r="K166" t="s">
        <v>55</v>
      </c>
      <c r="L166" t="s">
        <v>72</v>
      </c>
      <c r="M166" t="s">
        <v>45</v>
      </c>
      <c r="N166">
        <v>4</v>
      </c>
      <c r="O166">
        <v>4</v>
      </c>
      <c r="P166">
        <v>4</v>
      </c>
      <c r="Q166">
        <v>3</v>
      </c>
      <c r="R166" t="s">
        <v>46</v>
      </c>
      <c r="S166">
        <v>4</v>
      </c>
      <c r="T166">
        <v>6</v>
      </c>
      <c r="U166" t="s">
        <v>45</v>
      </c>
      <c r="V166" t="s">
        <v>52</v>
      </c>
      <c r="W166" s="2">
        <v>46317.67083333333</v>
      </c>
      <c r="X166" t="s">
        <v>39</v>
      </c>
    </row>
    <row r="167" spans="1:24" x14ac:dyDescent="0.25">
      <c r="A167" t="s">
        <v>278</v>
      </c>
      <c r="B167" t="s">
        <v>267</v>
      </c>
      <c r="C167" t="s">
        <v>255</v>
      </c>
      <c r="D167" s="1">
        <v>46317</v>
      </c>
      <c r="E167" t="s">
        <v>77</v>
      </c>
      <c r="F167" t="s">
        <v>78</v>
      </c>
      <c r="G167" t="s">
        <v>79</v>
      </c>
      <c r="H167" t="s">
        <v>80</v>
      </c>
      <c r="I167" t="s">
        <v>31</v>
      </c>
      <c r="J167" t="s">
        <v>86</v>
      </c>
      <c r="K167" t="s">
        <v>33</v>
      </c>
      <c r="L167" t="s">
        <v>58</v>
      </c>
      <c r="M167" t="s">
        <v>45</v>
      </c>
      <c r="N167">
        <v>3</v>
      </c>
      <c r="O167">
        <v>3</v>
      </c>
      <c r="P167">
        <v>3</v>
      </c>
      <c r="Q167">
        <v>4</v>
      </c>
      <c r="R167" t="s">
        <v>51</v>
      </c>
      <c r="S167">
        <v>3</v>
      </c>
      <c r="T167">
        <v>7</v>
      </c>
      <c r="U167" t="s">
        <v>45</v>
      </c>
      <c r="V167" t="s">
        <v>147</v>
      </c>
      <c r="W167" s="2">
        <v>46317.738888888889</v>
      </c>
      <c r="X167" t="s">
        <v>39</v>
      </c>
    </row>
    <row r="168" spans="1:24" x14ac:dyDescent="0.25">
      <c r="A168" t="s">
        <v>279</v>
      </c>
      <c r="B168" t="s">
        <v>267</v>
      </c>
      <c r="C168" t="s">
        <v>255</v>
      </c>
      <c r="D168" s="1">
        <v>46317</v>
      </c>
      <c r="E168" t="s">
        <v>77</v>
      </c>
      <c r="F168" t="s">
        <v>78</v>
      </c>
      <c r="G168" t="s">
        <v>85</v>
      </c>
      <c r="H168" t="s">
        <v>80</v>
      </c>
      <c r="I168" t="s">
        <v>31</v>
      </c>
      <c r="J168" t="s">
        <v>61</v>
      </c>
      <c r="K168" t="s">
        <v>33</v>
      </c>
      <c r="L168" t="s">
        <v>58</v>
      </c>
      <c r="M168" t="s">
        <v>45</v>
      </c>
      <c r="N168">
        <v>5</v>
      </c>
      <c r="O168">
        <v>5</v>
      </c>
      <c r="P168">
        <v>5</v>
      </c>
      <c r="Q168">
        <v>5</v>
      </c>
      <c r="R168" t="s">
        <v>51</v>
      </c>
      <c r="S168">
        <v>4</v>
      </c>
      <c r="T168">
        <v>10</v>
      </c>
      <c r="U168" t="s">
        <v>45</v>
      </c>
      <c r="V168" t="s">
        <v>91</v>
      </c>
      <c r="W168" s="2">
        <v>46317.51458333333</v>
      </c>
      <c r="X168" t="s">
        <v>39</v>
      </c>
    </row>
    <row r="169" spans="1:24" x14ac:dyDescent="0.25">
      <c r="A169" t="s">
        <v>280</v>
      </c>
      <c r="B169" t="s">
        <v>267</v>
      </c>
      <c r="C169" t="s">
        <v>255</v>
      </c>
      <c r="D169" s="1">
        <v>46317</v>
      </c>
      <c r="E169" t="s">
        <v>77</v>
      </c>
      <c r="F169" t="s">
        <v>78</v>
      </c>
      <c r="G169" t="s">
        <v>85</v>
      </c>
      <c r="H169" t="s">
        <v>80</v>
      </c>
      <c r="I169" t="s">
        <v>31</v>
      </c>
      <c r="J169" t="s">
        <v>50</v>
      </c>
      <c r="K169" t="s">
        <v>65</v>
      </c>
      <c r="L169" t="s">
        <v>72</v>
      </c>
      <c r="M169" t="s">
        <v>45</v>
      </c>
      <c r="N169">
        <v>5</v>
      </c>
      <c r="O169">
        <v>4</v>
      </c>
      <c r="P169">
        <v>4</v>
      </c>
      <c r="Q169">
        <v>4</v>
      </c>
      <c r="R169" t="s">
        <v>51</v>
      </c>
      <c r="S169">
        <v>5</v>
      </c>
      <c r="T169">
        <v>10</v>
      </c>
      <c r="U169" t="s">
        <v>35</v>
      </c>
      <c r="V169" t="s">
        <v>91</v>
      </c>
      <c r="W169" s="2">
        <v>46319.634722222225</v>
      </c>
      <c r="X169" t="s">
        <v>39</v>
      </c>
    </row>
    <row r="170" spans="1:24" x14ac:dyDescent="0.25">
      <c r="A170" t="s">
        <v>281</v>
      </c>
      <c r="B170" t="s">
        <v>282</v>
      </c>
      <c r="C170" t="s">
        <v>255</v>
      </c>
      <c r="D170" s="1">
        <v>46318</v>
      </c>
      <c r="E170" t="s">
        <v>102</v>
      </c>
      <c r="F170" t="s">
        <v>103</v>
      </c>
      <c r="G170" t="s">
        <v>110</v>
      </c>
      <c r="H170" t="s">
        <v>105</v>
      </c>
      <c r="I170" t="s">
        <v>31</v>
      </c>
      <c r="J170" t="s">
        <v>107</v>
      </c>
      <c r="K170" t="s">
        <v>55</v>
      </c>
      <c r="L170" t="s">
        <v>67</v>
      </c>
      <c r="M170" t="s">
        <v>45</v>
      </c>
      <c r="N170">
        <v>5</v>
      </c>
      <c r="O170">
        <v>5</v>
      </c>
      <c r="P170">
        <v>5</v>
      </c>
      <c r="Q170">
        <v>5</v>
      </c>
      <c r="R170" t="s">
        <v>36</v>
      </c>
      <c r="S170">
        <v>5</v>
      </c>
      <c r="T170">
        <v>10</v>
      </c>
      <c r="U170" t="s">
        <v>45</v>
      </c>
      <c r="V170" t="s">
        <v>62</v>
      </c>
      <c r="W170" s="2">
        <v>46319.522222222222</v>
      </c>
      <c r="X170" t="s">
        <v>39</v>
      </c>
    </row>
    <row r="171" spans="1:24" x14ac:dyDescent="0.25">
      <c r="A171" t="s">
        <v>283</v>
      </c>
      <c r="B171" t="s">
        <v>282</v>
      </c>
      <c r="C171" t="s">
        <v>255</v>
      </c>
      <c r="D171" s="1">
        <v>46318</v>
      </c>
      <c r="E171" t="s">
        <v>102</v>
      </c>
      <c r="F171" t="s">
        <v>103</v>
      </c>
      <c r="G171" t="s">
        <v>104</v>
      </c>
      <c r="H171" t="s">
        <v>105</v>
      </c>
      <c r="I171" t="s">
        <v>31</v>
      </c>
      <c r="J171" t="s">
        <v>163</v>
      </c>
      <c r="K171" t="s">
        <v>65</v>
      </c>
      <c r="L171" t="s">
        <v>44</v>
      </c>
      <c r="M171" t="s">
        <v>45</v>
      </c>
      <c r="N171">
        <v>5</v>
      </c>
      <c r="O171">
        <v>5</v>
      </c>
      <c r="P171">
        <v>5</v>
      </c>
      <c r="Q171">
        <v>5</v>
      </c>
      <c r="R171" t="s">
        <v>51</v>
      </c>
      <c r="S171">
        <v>3</v>
      </c>
      <c r="T171">
        <v>10</v>
      </c>
      <c r="U171" t="s">
        <v>45</v>
      </c>
      <c r="V171" t="s">
        <v>59</v>
      </c>
      <c r="W171" s="2">
        <v>46318.70416666667</v>
      </c>
      <c r="X171" t="s">
        <v>39</v>
      </c>
    </row>
    <row r="172" spans="1:24" x14ac:dyDescent="0.25">
      <c r="A172" t="s">
        <v>284</v>
      </c>
      <c r="B172" t="s">
        <v>282</v>
      </c>
      <c r="C172" t="s">
        <v>255</v>
      </c>
      <c r="D172" s="1">
        <v>46318</v>
      </c>
      <c r="E172" t="s">
        <v>102</v>
      </c>
      <c r="F172" t="s">
        <v>103</v>
      </c>
      <c r="G172" t="s">
        <v>112</v>
      </c>
      <c r="H172" t="s">
        <v>105</v>
      </c>
      <c r="I172" t="s">
        <v>31</v>
      </c>
      <c r="J172" t="s">
        <v>32</v>
      </c>
      <c r="K172" t="s">
        <v>33</v>
      </c>
      <c r="L172" t="s">
        <v>44</v>
      </c>
      <c r="M172" t="s">
        <v>45</v>
      </c>
      <c r="N172">
        <v>5</v>
      </c>
      <c r="O172">
        <v>5</v>
      </c>
      <c r="P172">
        <v>5</v>
      </c>
      <c r="Q172">
        <v>5</v>
      </c>
      <c r="R172" t="s">
        <v>46</v>
      </c>
      <c r="S172">
        <v>5</v>
      </c>
      <c r="T172">
        <v>10</v>
      </c>
      <c r="U172" t="s">
        <v>37</v>
      </c>
      <c r="V172" t="s">
        <v>125</v>
      </c>
      <c r="W172" s="2">
        <v>46318.585416666669</v>
      </c>
      <c r="X172" t="s">
        <v>39</v>
      </c>
    </row>
    <row r="173" spans="1:24" x14ac:dyDescent="0.25">
      <c r="A173" t="s">
        <v>285</v>
      </c>
      <c r="B173" t="s">
        <v>282</v>
      </c>
      <c r="C173" t="s">
        <v>255</v>
      </c>
      <c r="D173" s="1">
        <v>46318</v>
      </c>
      <c r="E173" t="s">
        <v>102</v>
      </c>
      <c r="F173" t="s">
        <v>103</v>
      </c>
      <c r="G173" t="s">
        <v>110</v>
      </c>
      <c r="H173" t="s">
        <v>105</v>
      </c>
      <c r="I173" t="s">
        <v>31</v>
      </c>
      <c r="J173" t="s">
        <v>71</v>
      </c>
      <c r="K173" t="s">
        <v>33</v>
      </c>
      <c r="L173" t="s">
        <v>72</v>
      </c>
      <c r="M173" t="s">
        <v>45</v>
      </c>
      <c r="N173">
        <v>5</v>
      </c>
      <c r="O173">
        <v>4</v>
      </c>
      <c r="P173">
        <v>3</v>
      </c>
      <c r="Q173">
        <v>3</v>
      </c>
      <c r="R173" t="s">
        <v>51</v>
      </c>
      <c r="S173">
        <v>4</v>
      </c>
      <c r="T173">
        <v>8</v>
      </c>
      <c r="U173" t="s">
        <v>45</v>
      </c>
      <c r="V173" t="s">
        <v>62</v>
      </c>
      <c r="W173" s="2">
        <v>46318.63958333333</v>
      </c>
      <c r="X173" t="s">
        <v>39</v>
      </c>
    </row>
    <row r="174" spans="1:24" x14ac:dyDescent="0.25">
      <c r="A174" t="s">
        <v>286</v>
      </c>
      <c r="B174" t="s">
        <v>282</v>
      </c>
      <c r="C174" t="s">
        <v>255</v>
      </c>
      <c r="D174" s="1">
        <v>46318</v>
      </c>
      <c r="E174" t="s">
        <v>102</v>
      </c>
      <c r="F174" t="s">
        <v>103</v>
      </c>
      <c r="G174" t="s">
        <v>112</v>
      </c>
      <c r="H174" t="s">
        <v>105</v>
      </c>
      <c r="I174" t="s">
        <v>31</v>
      </c>
      <c r="J174" t="s">
        <v>98</v>
      </c>
      <c r="K174" t="s">
        <v>138</v>
      </c>
      <c r="L174" t="s">
        <v>58</v>
      </c>
      <c r="M174" t="s">
        <v>45</v>
      </c>
      <c r="N174">
        <v>4</v>
      </c>
      <c r="O174">
        <v>5</v>
      </c>
      <c r="P174">
        <v>3</v>
      </c>
      <c r="Q174">
        <v>4</v>
      </c>
      <c r="R174" t="s">
        <v>46</v>
      </c>
      <c r="S174">
        <v>5</v>
      </c>
      <c r="T174">
        <v>8</v>
      </c>
      <c r="U174" t="s">
        <v>45</v>
      </c>
      <c r="V174" t="s">
        <v>125</v>
      </c>
      <c r="W174" s="2">
        <v>46320.392361111109</v>
      </c>
      <c r="X174" t="s">
        <v>39</v>
      </c>
    </row>
    <row r="175" spans="1:24" x14ac:dyDescent="0.25">
      <c r="A175" t="s">
        <v>287</v>
      </c>
      <c r="B175" t="s">
        <v>282</v>
      </c>
      <c r="C175" t="s">
        <v>255</v>
      </c>
      <c r="D175" s="1">
        <v>46318</v>
      </c>
      <c r="E175" t="s">
        <v>102</v>
      </c>
      <c r="F175" t="s">
        <v>103</v>
      </c>
      <c r="G175" t="s">
        <v>110</v>
      </c>
      <c r="H175" t="s">
        <v>105</v>
      </c>
      <c r="I175" t="s">
        <v>31</v>
      </c>
      <c r="J175" t="s">
        <v>32</v>
      </c>
      <c r="K175" t="s">
        <v>55</v>
      </c>
      <c r="L175" t="s">
        <v>72</v>
      </c>
      <c r="M175" t="s">
        <v>45</v>
      </c>
      <c r="O175">
        <v>4</v>
      </c>
      <c r="P175">
        <v>5</v>
      </c>
      <c r="Q175">
        <v>4</v>
      </c>
      <c r="R175" t="s">
        <v>51</v>
      </c>
      <c r="S175">
        <v>5</v>
      </c>
      <c r="T175">
        <v>8</v>
      </c>
      <c r="U175" t="s">
        <v>45</v>
      </c>
      <c r="V175" t="s">
        <v>147</v>
      </c>
      <c r="W175" s="2">
        <v>46320.506944444445</v>
      </c>
      <c r="X175" t="s">
        <v>39</v>
      </c>
    </row>
    <row r="176" spans="1:24" x14ac:dyDescent="0.25">
      <c r="A176" t="s">
        <v>288</v>
      </c>
      <c r="B176" t="s">
        <v>282</v>
      </c>
      <c r="C176" t="s">
        <v>255</v>
      </c>
      <c r="D176" s="1">
        <v>46318</v>
      </c>
      <c r="E176" t="s">
        <v>102</v>
      </c>
      <c r="F176" t="s">
        <v>103</v>
      </c>
      <c r="G176" t="s">
        <v>112</v>
      </c>
      <c r="H176" t="s">
        <v>105</v>
      </c>
      <c r="I176" t="s">
        <v>31</v>
      </c>
      <c r="J176" t="s">
        <v>107</v>
      </c>
      <c r="K176" t="s">
        <v>33</v>
      </c>
      <c r="L176" t="s">
        <v>34</v>
      </c>
      <c r="M176" t="s">
        <v>45</v>
      </c>
      <c r="N176">
        <v>5</v>
      </c>
      <c r="O176">
        <v>5</v>
      </c>
      <c r="P176">
        <v>5</v>
      </c>
      <c r="Q176">
        <v>5</v>
      </c>
      <c r="R176" t="s">
        <v>51</v>
      </c>
      <c r="S176">
        <v>5</v>
      </c>
      <c r="T176">
        <v>10</v>
      </c>
      <c r="U176" t="s">
        <v>45</v>
      </c>
      <c r="V176" t="s">
        <v>91</v>
      </c>
      <c r="W176" s="2">
        <v>46318.553472222222</v>
      </c>
      <c r="X176" t="s">
        <v>39</v>
      </c>
    </row>
    <row r="177" spans="1:24" x14ac:dyDescent="0.25">
      <c r="A177" t="s">
        <v>289</v>
      </c>
      <c r="B177" t="s">
        <v>282</v>
      </c>
      <c r="C177" t="s">
        <v>255</v>
      </c>
      <c r="D177" s="1">
        <v>46318</v>
      </c>
      <c r="E177" t="s">
        <v>102</v>
      </c>
      <c r="F177" t="s">
        <v>103</v>
      </c>
      <c r="G177" t="s">
        <v>112</v>
      </c>
      <c r="H177" t="s">
        <v>105</v>
      </c>
      <c r="I177" t="s">
        <v>31</v>
      </c>
      <c r="J177" t="s">
        <v>94</v>
      </c>
      <c r="K177" t="s">
        <v>138</v>
      </c>
      <c r="L177" t="s">
        <v>58</v>
      </c>
      <c r="M177" t="s">
        <v>45</v>
      </c>
      <c r="N177">
        <v>5</v>
      </c>
      <c r="O177">
        <v>5</v>
      </c>
      <c r="P177">
        <v>4</v>
      </c>
      <c r="Q177">
        <v>4</v>
      </c>
      <c r="R177" t="s">
        <v>51</v>
      </c>
      <c r="S177">
        <v>5</v>
      </c>
      <c r="T177">
        <v>10</v>
      </c>
      <c r="U177" t="s">
        <v>45</v>
      </c>
      <c r="V177" t="s">
        <v>95</v>
      </c>
      <c r="W177" s="2">
        <v>46318.805555555555</v>
      </c>
      <c r="X177" t="s">
        <v>39</v>
      </c>
    </row>
    <row r="178" spans="1:24" x14ac:dyDescent="0.25">
      <c r="A178" t="s">
        <v>290</v>
      </c>
      <c r="B178" t="s">
        <v>282</v>
      </c>
      <c r="C178" t="s">
        <v>255</v>
      </c>
      <c r="D178" s="1">
        <v>46318</v>
      </c>
      <c r="E178" t="s">
        <v>102</v>
      </c>
      <c r="F178" t="s">
        <v>103</v>
      </c>
      <c r="G178" t="s">
        <v>110</v>
      </c>
      <c r="H178" t="s">
        <v>105</v>
      </c>
      <c r="I178" t="s">
        <v>31</v>
      </c>
      <c r="J178" t="s">
        <v>163</v>
      </c>
      <c r="K178" t="s">
        <v>138</v>
      </c>
      <c r="L178" t="s">
        <v>44</v>
      </c>
      <c r="M178" t="s">
        <v>45</v>
      </c>
      <c r="N178">
        <v>4</v>
      </c>
      <c r="O178">
        <v>5</v>
      </c>
      <c r="P178">
        <v>4</v>
      </c>
      <c r="Q178">
        <v>5</v>
      </c>
      <c r="R178" t="s">
        <v>51</v>
      </c>
      <c r="S178">
        <v>5</v>
      </c>
      <c r="T178">
        <v>10</v>
      </c>
      <c r="U178" t="s">
        <v>45</v>
      </c>
      <c r="V178" t="s">
        <v>59</v>
      </c>
      <c r="W178" s="2">
        <v>46319.772222222222</v>
      </c>
      <c r="X178" t="s">
        <v>39</v>
      </c>
    </row>
    <row r="179" spans="1:24" x14ac:dyDescent="0.25">
      <c r="A179" t="s">
        <v>291</v>
      </c>
      <c r="B179" t="s">
        <v>282</v>
      </c>
      <c r="C179" t="s">
        <v>255</v>
      </c>
      <c r="D179" s="1">
        <v>46318</v>
      </c>
      <c r="E179" t="s">
        <v>102</v>
      </c>
      <c r="F179" t="s">
        <v>103</v>
      </c>
      <c r="G179" t="s">
        <v>104</v>
      </c>
      <c r="H179" t="s">
        <v>105</v>
      </c>
      <c r="I179" t="s">
        <v>31</v>
      </c>
      <c r="J179" t="s">
        <v>107</v>
      </c>
      <c r="K179" t="s">
        <v>138</v>
      </c>
      <c r="L179" t="s">
        <v>58</v>
      </c>
      <c r="M179" t="s">
        <v>45</v>
      </c>
      <c r="N179">
        <v>3</v>
      </c>
      <c r="O179">
        <v>3</v>
      </c>
      <c r="P179">
        <v>2</v>
      </c>
      <c r="Q179">
        <v>4</v>
      </c>
      <c r="R179" t="s">
        <v>36</v>
      </c>
      <c r="S179">
        <v>4</v>
      </c>
      <c r="T179">
        <v>6</v>
      </c>
      <c r="U179" t="s">
        <v>45</v>
      </c>
      <c r="V179" t="s">
        <v>130</v>
      </c>
      <c r="W179" s="2">
        <v>46318.477083333331</v>
      </c>
      <c r="X179" t="s">
        <v>39</v>
      </c>
    </row>
    <row r="180" spans="1:24" x14ac:dyDescent="0.25">
      <c r="A180" t="s">
        <v>292</v>
      </c>
      <c r="B180" t="s">
        <v>282</v>
      </c>
      <c r="C180" t="s">
        <v>255</v>
      </c>
      <c r="D180" s="1">
        <v>46318</v>
      </c>
      <c r="E180" t="s">
        <v>102</v>
      </c>
      <c r="F180" t="s">
        <v>103</v>
      </c>
      <c r="G180" t="s">
        <v>104</v>
      </c>
      <c r="H180" t="s">
        <v>105</v>
      </c>
      <c r="I180" t="s">
        <v>31</v>
      </c>
      <c r="J180" t="s">
        <v>128</v>
      </c>
      <c r="K180" t="s">
        <v>33</v>
      </c>
      <c r="L180" t="s">
        <v>67</v>
      </c>
      <c r="M180" t="s">
        <v>45</v>
      </c>
      <c r="N180">
        <v>3</v>
      </c>
      <c r="O180">
        <v>3</v>
      </c>
      <c r="P180">
        <v>2</v>
      </c>
      <c r="Q180">
        <v>3</v>
      </c>
      <c r="R180" t="s">
        <v>36</v>
      </c>
      <c r="S180">
        <v>5</v>
      </c>
      <c r="T180">
        <v>7</v>
      </c>
      <c r="U180" t="s">
        <v>45</v>
      </c>
      <c r="V180" t="s">
        <v>69</v>
      </c>
      <c r="W180" s="2">
        <v>46320.629861111112</v>
      </c>
      <c r="X180" t="s">
        <v>39</v>
      </c>
    </row>
    <row r="181" spans="1:24" x14ac:dyDescent="0.25">
      <c r="A181" t="s">
        <v>293</v>
      </c>
      <c r="B181" t="s">
        <v>282</v>
      </c>
      <c r="C181" t="s">
        <v>255</v>
      </c>
      <c r="D181" s="1">
        <v>46318</v>
      </c>
      <c r="E181" t="s">
        <v>102</v>
      </c>
      <c r="F181" t="s">
        <v>103</v>
      </c>
      <c r="G181" t="s">
        <v>104</v>
      </c>
      <c r="H181" t="s">
        <v>105</v>
      </c>
      <c r="I181" t="s">
        <v>31</v>
      </c>
      <c r="J181" t="s">
        <v>128</v>
      </c>
      <c r="K181" t="s">
        <v>138</v>
      </c>
      <c r="L181" t="s">
        <v>34</v>
      </c>
      <c r="M181" t="s">
        <v>35</v>
      </c>
      <c r="N181">
        <v>2</v>
      </c>
      <c r="O181">
        <v>3</v>
      </c>
      <c r="P181">
        <v>3</v>
      </c>
      <c r="Q181">
        <v>4</v>
      </c>
      <c r="R181" t="s">
        <v>51</v>
      </c>
      <c r="S181">
        <v>5</v>
      </c>
      <c r="T181">
        <v>6</v>
      </c>
      <c r="U181" t="s">
        <v>45</v>
      </c>
      <c r="V181" t="s">
        <v>130</v>
      </c>
      <c r="W181" s="2">
        <v>46318.470138888886</v>
      </c>
      <c r="X181" t="s">
        <v>39</v>
      </c>
    </row>
    <row r="182" spans="1:24" x14ac:dyDescent="0.25">
      <c r="A182" t="s">
        <v>294</v>
      </c>
      <c r="B182" t="s">
        <v>282</v>
      </c>
      <c r="C182" t="s">
        <v>255</v>
      </c>
      <c r="D182" s="1">
        <v>46318</v>
      </c>
      <c r="E182" t="s">
        <v>102</v>
      </c>
      <c r="F182" t="s">
        <v>103</v>
      </c>
      <c r="G182" t="s">
        <v>110</v>
      </c>
      <c r="H182" t="s">
        <v>105</v>
      </c>
      <c r="I182" t="s">
        <v>31</v>
      </c>
      <c r="J182" t="s">
        <v>98</v>
      </c>
      <c r="K182" t="s">
        <v>55</v>
      </c>
      <c r="L182" t="s">
        <v>67</v>
      </c>
      <c r="M182" t="s">
        <v>45</v>
      </c>
      <c r="N182">
        <v>3</v>
      </c>
      <c r="O182">
        <v>3</v>
      </c>
      <c r="P182">
        <v>3</v>
      </c>
      <c r="Q182">
        <v>3</v>
      </c>
      <c r="R182" t="s">
        <v>51</v>
      </c>
      <c r="S182">
        <v>4</v>
      </c>
      <c r="T182">
        <v>5</v>
      </c>
      <c r="U182" t="s">
        <v>45</v>
      </c>
      <c r="V182" t="s">
        <v>130</v>
      </c>
      <c r="W182" s="2">
        <v>46318.665277777778</v>
      </c>
      <c r="X182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240F-E23F-4695-9EB5-50EBABEB7707}">
  <dimension ref="A1:H91"/>
  <sheetViews>
    <sheetView showGridLines="0" workbookViewId="0">
      <pane ySplit="2" topLeftCell="A3" activePane="bottomLeft" state="frozen"/>
      <selection pane="bottomLeft" activeCell="C17" sqref="C17"/>
    </sheetView>
  </sheetViews>
  <sheetFormatPr defaultRowHeight="15" x14ac:dyDescent="0.25"/>
  <cols>
    <col min="1" max="2" width="28.5703125" customWidth="1"/>
    <col min="3" max="3" width="13.28515625" customWidth="1"/>
    <col min="4" max="5" width="36.140625" customWidth="1"/>
    <col min="6" max="6" width="16.140625" customWidth="1"/>
    <col min="7" max="7" width="51.42578125" customWidth="1"/>
    <col min="8" max="8" width="43.85546875" customWidth="1"/>
  </cols>
  <sheetData>
    <row r="1" spans="1:8" ht="24" x14ac:dyDescent="0.25">
      <c r="A1" s="42" t="s">
        <v>295</v>
      </c>
      <c r="B1" s="42"/>
      <c r="C1" s="42"/>
      <c r="D1" s="42"/>
      <c r="E1" s="42"/>
      <c r="F1" s="42"/>
      <c r="G1" s="42"/>
      <c r="H1" s="42"/>
    </row>
    <row r="2" spans="1:8" x14ac:dyDescent="0.25">
      <c r="A2" s="43" t="s">
        <v>296</v>
      </c>
      <c r="B2" s="43"/>
      <c r="C2" s="43"/>
      <c r="D2" s="43"/>
      <c r="E2" s="43"/>
      <c r="F2" s="43"/>
      <c r="G2" s="43"/>
      <c r="H2" s="4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44" t="s">
        <v>297</v>
      </c>
      <c r="B4" s="44"/>
      <c r="C4" s="44"/>
      <c r="D4" s="44"/>
      <c r="E4" s="44"/>
      <c r="F4" s="44"/>
      <c r="G4" s="44"/>
      <c r="H4" s="44"/>
    </row>
    <row r="5" spans="1:8" x14ac:dyDescent="0.25">
      <c r="A5" s="3" t="s">
        <v>298</v>
      </c>
      <c r="B5" s="3" t="s">
        <v>299</v>
      </c>
      <c r="C5" s="3" t="s">
        <v>300</v>
      </c>
      <c r="D5" s="3">
        <v>181</v>
      </c>
      <c r="E5" s="3" t="s">
        <v>301</v>
      </c>
      <c r="F5" s="3">
        <v>24</v>
      </c>
      <c r="G5" s="3" t="s">
        <v>302</v>
      </c>
      <c r="H5" s="3">
        <v>15</v>
      </c>
    </row>
    <row r="6" spans="1:8" x14ac:dyDescent="0.25">
      <c r="A6" s="3" t="s">
        <v>303</v>
      </c>
      <c r="B6" s="3" t="s">
        <v>304</v>
      </c>
      <c r="C6" s="3" t="s">
        <v>305</v>
      </c>
      <c r="D6" s="3">
        <v>5</v>
      </c>
      <c r="E6" s="3" t="s">
        <v>306</v>
      </c>
      <c r="F6" s="3">
        <v>11</v>
      </c>
      <c r="G6" s="3" t="s">
        <v>307</v>
      </c>
      <c r="H6" s="3">
        <v>13</v>
      </c>
    </row>
    <row r="7" spans="1:8" x14ac:dyDescent="0.25">
      <c r="A7" s="3" t="s">
        <v>308</v>
      </c>
      <c r="B7" s="3" t="s">
        <v>309</v>
      </c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44" t="s">
        <v>310</v>
      </c>
      <c r="B9" s="44"/>
      <c r="C9" s="44"/>
      <c r="D9" s="44"/>
      <c r="E9" s="44"/>
      <c r="F9" s="44"/>
      <c r="G9" s="44"/>
      <c r="H9" s="44"/>
    </row>
    <row r="10" spans="1:8" x14ac:dyDescent="0.25">
      <c r="A10" s="4" t="s">
        <v>311</v>
      </c>
      <c r="B10" s="4" t="s">
        <v>312</v>
      </c>
      <c r="C10" s="4" t="s">
        <v>313</v>
      </c>
      <c r="D10" s="4" t="s">
        <v>311</v>
      </c>
      <c r="E10" s="4" t="s">
        <v>312</v>
      </c>
      <c r="F10" s="4" t="s">
        <v>313</v>
      </c>
      <c r="G10" s="4" t="s">
        <v>311</v>
      </c>
      <c r="H10" s="4" t="s">
        <v>312</v>
      </c>
    </row>
    <row r="11" spans="1:8" x14ac:dyDescent="0.25">
      <c r="A11" s="5" t="s">
        <v>314</v>
      </c>
      <c r="B11" s="6">
        <v>181</v>
      </c>
      <c r="C11" s="5" t="s">
        <v>315</v>
      </c>
      <c r="D11" s="5" t="s">
        <v>316</v>
      </c>
      <c r="E11" s="7">
        <v>0.98342541436464093</v>
      </c>
      <c r="F11" s="5" t="s">
        <v>317</v>
      </c>
      <c r="G11" s="5" t="s">
        <v>318</v>
      </c>
      <c r="H11" s="6">
        <v>0</v>
      </c>
    </row>
    <row r="12" spans="1:8" x14ac:dyDescent="0.25">
      <c r="A12" s="5" t="s">
        <v>319</v>
      </c>
      <c r="B12" s="6">
        <v>18</v>
      </c>
      <c r="C12" s="5" t="s">
        <v>320</v>
      </c>
      <c r="D12" s="5" t="s">
        <v>321</v>
      </c>
      <c r="E12" s="6">
        <v>39</v>
      </c>
      <c r="F12" s="5" t="s">
        <v>322</v>
      </c>
      <c r="G12" s="5" t="s">
        <v>323</v>
      </c>
      <c r="H12" s="6">
        <v>79</v>
      </c>
    </row>
    <row r="13" spans="1:8" x14ac:dyDescent="0.25">
      <c r="A13" s="5" t="s">
        <v>324</v>
      </c>
      <c r="B13" s="6">
        <v>0</v>
      </c>
      <c r="C13" s="5" t="s">
        <v>325</v>
      </c>
      <c r="D13" s="5" t="s">
        <v>326</v>
      </c>
      <c r="E13" s="6">
        <v>0</v>
      </c>
      <c r="F13" s="5" t="s">
        <v>327</v>
      </c>
      <c r="G13" s="5" t="s">
        <v>328</v>
      </c>
      <c r="H13" s="6">
        <v>77</v>
      </c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40" t="s">
        <v>329</v>
      </c>
      <c r="B15" s="40"/>
      <c r="C15" s="40"/>
      <c r="D15" s="40"/>
      <c r="E15" s="40"/>
      <c r="F15" s="40"/>
      <c r="G15" s="40"/>
      <c r="H15" s="40"/>
    </row>
    <row r="16" spans="1:8" ht="27" x14ac:dyDescent="0.25">
      <c r="A16" s="4" t="s">
        <v>330</v>
      </c>
      <c r="B16" s="4" t="s">
        <v>331</v>
      </c>
      <c r="C16" s="4" t="s">
        <v>332</v>
      </c>
      <c r="D16" s="4" t="s">
        <v>333</v>
      </c>
      <c r="E16" s="4" t="s">
        <v>334</v>
      </c>
      <c r="F16" s="4" t="s">
        <v>335</v>
      </c>
      <c r="G16" s="4" t="s">
        <v>336</v>
      </c>
      <c r="H16" s="4" t="s">
        <v>337</v>
      </c>
    </row>
    <row r="17" spans="1:8" ht="108" x14ac:dyDescent="0.25">
      <c r="A17" s="8" t="s">
        <v>338</v>
      </c>
      <c r="B17" s="9" t="s">
        <v>339</v>
      </c>
      <c r="C17" s="9" t="s">
        <v>340</v>
      </c>
      <c r="D17" s="9" t="s">
        <v>341</v>
      </c>
      <c r="E17" s="9">
        <v>18</v>
      </c>
      <c r="F17" s="9" t="s">
        <v>342</v>
      </c>
      <c r="G17" s="9" t="s">
        <v>343</v>
      </c>
      <c r="H17" s="9" t="s">
        <v>344</v>
      </c>
    </row>
    <row r="18" spans="1:8" ht="108" x14ac:dyDescent="0.25">
      <c r="A18" s="8" t="s">
        <v>338</v>
      </c>
      <c r="B18" s="9" t="s">
        <v>345</v>
      </c>
      <c r="C18" s="9" t="s">
        <v>22</v>
      </c>
      <c r="D18" s="9" t="s">
        <v>346</v>
      </c>
      <c r="E18" s="9">
        <v>79</v>
      </c>
      <c r="F18" s="9" t="s">
        <v>347</v>
      </c>
      <c r="G18" s="9" t="s">
        <v>348</v>
      </c>
      <c r="H18" s="9" t="s">
        <v>349</v>
      </c>
    </row>
    <row r="19" spans="1:8" ht="81" x14ac:dyDescent="0.25">
      <c r="A19" s="10" t="s">
        <v>350</v>
      </c>
      <c r="B19" s="9" t="s">
        <v>345</v>
      </c>
      <c r="C19" s="9" t="s">
        <v>3</v>
      </c>
      <c r="D19" s="9" t="s">
        <v>351</v>
      </c>
      <c r="E19" s="9">
        <v>77</v>
      </c>
      <c r="F19" s="9" t="s">
        <v>352</v>
      </c>
      <c r="G19" s="9" t="s">
        <v>353</v>
      </c>
      <c r="H19" s="9" t="s">
        <v>354</v>
      </c>
    </row>
    <row r="20" spans="1:8" ht="40.5" x14ac:dyDescent="0.25">
      <c r="A20" s="10" t="s">
        <v>350</v>
      </c>
      <c r="B20" s="9" t="s">
        <v>355</v>
      </c>
      <c r="C20" s="9" t="s">
        <v>9</v>
      </c>
      <c r="D20" s="9" t="s">
        <v>356</v>
      </c>
      <c r="E20" s="9">
        <v>39</v>
      </c>
      <c r="F20" s="9" t="s">
        <v>357</v>
      </c>
      <c r="G20" s="9" t="s">
        <v>358</v>
      </c>
      <c r="H20" s="9" t="s">
        <v>359</v>
      </c>
    </row>
    <row r="21" spans="1:8" ht="54" x14ac:dyDescent="0.25">
      <c r="A21" s="11" t="s">
        <v>360</v>
      </c>
      <c r="B21" s="9" t="s">
        <v>361</v>
      </c>
      <c r="C21" s="9" t="s">
        <v>21</v>
      </c>
      <c r="D21" s="9" t="s">
        <v>362</v>
      </c>
      <c r="E21" s="9">
        <v>36</v>
      </c>
      <c r="F21" s="9" t="s">
        <v>363</v>
      </c>
      <c r="G21" s="9" t="s">
        <v>364</v>
      </c>
      <c r="H21" s="9" t="s">
        <v>365</v>
      </c>
    </row>
    <row r="22" spans="1:8" ht="54" x14ac:dyDescent="0.25">
      <c r="A22" s="11" t="s">
        <v>360</v>
      </c>
      <c r="B22" s="9" t="s">
        <v>366</v>
      </c>
      <c r="C22" s="9" t="s">
        <v>22</v>
      </c>
      <c r="D22" s="9" t="s">
        <v>367</v>
      </c>
      <c r="E22" s="9">
        <v>3</v>
      </c>
      <c r="F22" s="9" t="s">
        <v>368</v>
      </c>
      <c r="G22" s="9" t="s">
        <v>369</v>
      </c>
      <c r="H22" s="9" t="s">
        <v>370</v>
      </c>
    </row>
    <row r="23" spans="1:8" ht="40.5" x14ac:dyDescent="0.25">
      <c r="A23" s="12" t="s">
        <v>371</v>
      </c>
      <c r="B23" s="9" t="s">
        <v>372</v>
      </c>
      <c r="C23" s="9" t="s">
        <v>373</v>
      </c>
      <c r="D23" s="9" t="s">
        <v>374</v>
      </c>
      <c r="E23" s="9">
        <v>0</v>
      </c>
      <c r="F23" s="9" t="s">
        <v>375</v>
      </c>
      <c r="G23" s="9" t="s">
        <v>376</v>
      </c>
      <c r="H23" s="9" t="s">
        <v>377</v>
      </c>
    </row>
    <row r="24" spans="1:8" ht="40.5" x14ac:dyDescent="0.25">
      <c r="A24" s="12" t="s">
        <v>371</v>
      </c>
      <c r="B24" s="9" t="s">
        <v>378</v>
      </c>
      <c r="C24" s="9" t="s">
        <v>379</v>
      </c>
      <c r="D24" s="9" t="s">
        <v>380</v>
      </c>
      <c r="E24" s="9">
        <v>0</v>
      </c>
      <c r="F24" s="9" t="s">
        <v>381</v>
      </c>
      <c r="G24" s="9" t="s">
        <v>382</v>
      </c>
      <c r="H24" s="9" t="s">
        <v>383</v>
      </c>
    </row>
    <row r="25" spans="1:8" ht="40.5" x14ac:dyDescent="0.25">
      <c r="A25" s="12" t="s">
        <v>371</v>
      </c>
      <c r="B25" s="9" t="s">
        <v>384</v>
      </c>
      <c r="C25" s="9" t="s">
        <v>385</v>
      </c>
      <c r="D25" s="9" t="s">
        <v>386</v>
      </c>
      <c r="E25" s="9">
        <v>0</v>
      </c>
      <c r="F25" s="9" t="s">
        <v>387</v>
      </c>
      <c r="G25" s="9" t="s">
        <v>388</v>
      </c>
      <c r="H25" s="9" t="s">
        <v>389</v>
      </c>
    </row>
    <row r="26" spans="1:8" x14ac:dyDescent="0.25">
      <c r="A26" s="13"/>
      <c r="B26" s="13"/>
      <c r="C26" s="13"/>
      <c r="D26" s="13"/>
      <c r="E26" s="13"/>
      <c r="F26" s="13"/>
      <c r="G26" s="13"/>
      <c r="H26" s="13"/>
    </row>
    <row r="27" spans="1:8" x14ac:dyDescent="0.25">
      <c r="A27" s="40" t="s">
        <v>390</v>
      </c>
      <c r="B27" s="40"/>
      <c r="C27" s="40"/>
      <c r="D27" s="40"/>
      <c r="E27" s="40"/>
      <c r="F27" s="40"/>
      <c r="G27" s="40"/>
      <c r="H27" s="40"/>
    </row>
    <row r="28" spans="1:8" x14ac:dyDescent="0.25">
      <c r="A28" s="4" t="s">
        <v>391</v>
      </c>
      <c r="B28" s="4" t="s">
        <v>392</v>
      </c>
      <c r="C28" s="4" t="s">
        <v>393</v>
      </c>
      <c r="D28" s="4" t="s">
        <v>394</v>
      </c>
      <c r="E28" s="4" t="s">
        <v>395</v>
      </c>
      <c r="F28" s="4" t="s">
        <v>396</v>
      </c>
      <c r="G28" s="4"/>
      <c r="H28" s="4"/>
    </row>
    <row r="29" spans="1:8" ht="27" x14ac:dyDescent="0.25">
      <c r="A29" s="9" t="s">
        <v>128</v>
      </c>
      <c r="B29" s="9" t="s">
        <v>42</v>
      </c>
      <c r="C29" s="9">
        <v>15</v>
      </c>
      <c r="D29" s="9" t="s">
        <v>397</v>
      </c>
      <c r="E29" s="9" t="s">
        <v>398</v>
      </c>
      <c r="F29" s="9" t="s">
        <v>399</v>
      </c>
      <c r="G29" s="9"/>
      <c r="H29" s="9"/>
    </row>
    <row r="30" spans="1:8" ht="27" x14ac:dyDescent="0.25">
      <c r="A30" s="9" t="s">
        <v>81</v>
      </c>
      <c r="B30" s="9" t="s">
        <v>86</v>
      </c>
      <c r="C30" s="9">
        <v>11</v>
      </c>
      <c r="D30" s="9" t="s">
        <v>397</v>
      </c>
      <c r="E30" s="9" t="s">
        <v>398</v>
      </c>
      <c r="F30" s="9" t="s">
        <v>399</v>
      </c>
      <c r="G30" s="9"/>
      <c r="H30" s="9"/>
    </row>
    <row r="31" spans="1:8" ht="27" x14ac:dyDescent="0.25">
      <c r="A31" s="9" t="s">
        <v>107</v>
      </c>
      <c r="B31" s="9" t="s">
        <v>163</v>
      </c>
      <c r="C31" s="9">
        <v>13</v>
      </c>
      <c r="D31" s="9" t="s">
        <v>400</v>
      </c>
      <c r="E31" s="9" t="s">
        <v>398</v>
      </c>
      <c r="F31" s="9" t="s">
        <v>399</v>
      </c>
      <c r="G31" s="9"/>
      <c r="H31" s="9"/>
    </row>
    <row r="32" spans="1:8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40" t="s">
        <v>401</v>
      </c>
      <c r="B34" s="40"/>
      <c r="C34" s="40"/>
      <c r="D34" s="40"/>
      <c r="E34" s="40"/>
      <c r="F34" s="40"/>
      <c r="G34" s="40"/>
      <c r="H34" s="40"/>
    </row>
    <row r="35" spans="1:8" ht="27" x14ac:dyDescent="0.25">
      <c r="A35" s="4" t="s">
        <v>402</v>
      </c>
      <c r="B35" s="4" t="s">
        <v>403</v>
      </c>
      <c r="C35" s="4" t="s">
        <v>404</v>
      </c>
      <c r="D35" s="4" t="s">
        <v>405</v>
      </c>
      <c r="E35" s="4" t="s">
        <v>406</v>
      </c>
      <c r="F35" s="4" t="s">
        <v>407</v>
      </c>
      <c r="G35" s="4" t="s">
        <v>333</v>
      </c>
      <c r="H35" s="4" t="s">
        <v>408</v>
      </c>
    </row>
    <row r="36" spans="1:8" x14ac:dyDescent="0.25">
      <c r="A36" s="9" t="s">
        <v>0</v>
      </c>
      <c r="B36" s="14">
        <v>181</v>
      </c>
      <c r="C36" s="14">
        <v>0</v>
      </c>
      <c r="D36" s="15">
        <v>0</v>
      </c>
      <c r="E36" s="14">
        <v>181</v>
      </c>
      <c r="F36" s="9" t="s">
        <v>409</v>
      </c>
      <c r="G36" s="9" t="s">
        <v>410</v>
      </c>
      <c r="H36" s="9" t="s">
        <v>411</v>
      </c>
    </row>
    <row r="37" spans="1:8" ht="27" x14ac:dyDescent="0.25">
      <c r="A37" s="9" t="s">
        <v>1</v>
      </c>
      <c r="B37" s="14">
        <v>181</v>
      </c>
      <c r="C37" s="14">
        <v>0</v>
      </c>
      <c r="D37" s="15">
        <v>0</v>
      </c>
      <c r="E37" s="14">
        <v>15</v>
      </c>
      <c r="F37" s="9" t="s">
        <v>412</v>
      </c>
      <c r="G37" s="9" t="s">
        <v>413</v>
      </c>
      <c r="H37" s="9" t="s">
        <v>414</v>
      </c>
    </row>
    <row r="38" spans="1:8" x14ac:dyDescent="0.25">
      <c r="A38" s="9" t="s">
        <v>2</v>
      </c>
      <c r="B38" s="14">
        <v>181</v>
      </c>
      <c r="C38" s="14">
        <v>0</v>
      </c>
      <c r="D38" s="15">
        <v>0</v>
      </c>
      <c r="E38" s="14">
        <v>5</v>
      </c>
      <c r="F38" s="9" t="s">
        <v>415</v>
      </c>
      <c r="G38" s="9" t="s">
        <v>416</v>
      </c>
      <c r="H38" s="9" t="s">
        <v>417</v>
      </c>
    </row>
    <row r="39" spans="1:8" ht="27" x14ac:dyDescent="0.25">
      <c r="A39" s="9" t="s">
        <v>3</v>
      </c>
      <c r="B39" s="14">
        <v>181</v>
      </c>
      <c r="C39" s="14">
        <v>0</v>
      </c>
      <c r="D39" s="15">
        <v>0</v>
      </c>
      <c r="E39" s="14">
        <v>12</v>
      </c>
      <c r="F39" s="9" t="s">
        <v>418</v>
      </c>
      <c r="G39" s="9" t="s">
        <v>419</v>
      </c>
      <c r="H39" s="9" t="s">
        <v>420</v>
      </c>
    </row>
    <row r="40" spans="1:8" ht="27" x14ac:dyDescent="0.25">
      <c r="A40" s="9" t="s">
        <v>4</v>
      </c>
      <c r="B40" s="14">
        <v>181</v>
      </c>
      <c r="C40" s="14">
        <v>0</v>
      </c>
      <c r="D40" s="15">
        <v>0</v>
      </c>
      <c r="E40" s="14">
        <v>3</v>
      </c>
      <c r="F40" s="9" t="s">
        <v>421</v>
      </c>
      <c r="G40" s="9" t="s">
        <v>422</v>
      </c>
      <c r="H40" s="9" t="s">
        <v>417</v>
      </c>
    </row>
    <row r="41" spans="1:8" x14ac:dyDescent="0.25">
      <c r="A41" s="9" t="s">
        <v>5</v>
      </c>
      <c r="B41" s="14">
        <v>181</v>
      </c>
      <c r="C41" s="14">
        <v>0</v>
      </c>
      <c r="D41" s="15">
        <v>0</v>
      </c>
      <c r="E41" s="14">
        <v>3</v>
      </c>
      <c r="F41" s="9" t="s">
        <v>423</v>
      </c>
      <c r="G41" s="9" t="s">
        <v>422</v>
      </c>
      <c r="H41" s="9" t="s">
        <v>417</v>
      </c>
    </row>
    <row r="42" spans="1:8" ht="27" x14ac:dyDescent="0.25">
      <c r="A42" s="9" t="s">
        <v>6</v>
      </c>
      <c r="B42" s="14">
        <v>181</v>
      </c>
      <c r="C42" s="14">
        <v>0</v>
      </c>
      <c r="D42" s="15">
        <v>0</v>
      </c>
      <c r="E42" s="14">
        <v>11</v>
      </c>
      <c r="F42" s="9" t="s">
        <v>424</v>
      </c>
      <c r="G42" s="9" t="s">
        <v>416</v>
      </c>
      <c r="H42" s="9" t="s">
        <v>417</v>
      </c>
    </row>
    <row r="43" spans="1:8" x14ac:dyDescent="0.25">
      <c r="A43" s="9" t="s">
        <v>7</v>
      </c>
      <c r="B43" s="14">
        <v>181</v>
      </c>
      <c r="C43" s="14">
        <v>0</v>
      </c>
      <c r="D43" s="15">
        <v>0</v>
      </c>
      <c r="E43" s="14">
        <v>3</v>
      </c>
      <c r="F43" s="9" t="s">
        <v>425</v>
      </c>
      <c r="G43" s="9" t="s">
        <v>416</v>
      </c>
      <c r="H43" s="9" t="s">
        <v>417</v>
      </c>
    </row>
    <row r="44" spans="1:8" x14ac:dyDescent="0.25">
      <c r="A44" s="9" t="s">
        <v>8</v>
      </c>
      <c r="B44" s="14">
        <v>181</v>
      </c>
      <c r="C44" s="14">
        <v>0</v>
      </c>
      <c r="D44" s="15">
        <v>0</v>
      </c>
      <c r="E44" s="14">
        <v>1</v>
      </c>
      <c r="F44" s="9" t="s">
        <v>426</v>
      </c>
      <c r="G44" s="9" t="s">
        <v>416</v>
      </c>
      <c r="H44" s="9" t="s">
        <v>417</v>
      </c>
    </row>
    <row r="45" spans="1:8" ht="27" x14ac:dyDescent="0.25">
      <c r="A45" s="9" t="s">
        <v>9</v>
      </c>
      <c r="B45" s="14">
        <v>181</v>
      </c>
      <c r="C45" s="14">
        <v>0</v>
      </c>
      <c r="D45" s="15">
        <v>0</v>
      </c>
      <c r="E45" s="14">
        <v>13</v>
      </c>
      <c r="F45" s="9" t="s">
        <v>427</v>
      </c>
      <c r="G45" s="9" t="s">
        <v>428</v>
      </c>
      <c r="H45" s="9" t="s">
        <v>429</v>
      </c>
    </row>
    <row r="46" spans="1:8" ht="27" x14ac:dyDescent="0.25">
      <c r="A46" s="9" t="s">
        <v>10</v>
      </c>
      <c r="B46" s="14">
        <v>181</v>
      </c>
      <c r="C46" s="14">
        <v>0</v>
      </c>
      <c r="D46" s="15">
        <v>0</v>
      </c>
      <c r="E46" s="14">
        <v>5</v>
      </c>
      <c r="F46" s="9" t="s">
        <v>430</v>
      </c>
      <c r="G46" s="9" t="s">
        <v>416</v>
      </c>
      <c r="H46" s="9" t="s">
        <v>417</v>
      </c>
    </row>
    <row r="47" spans="1:8" x14ac:dyDescent="0.25">
      <c r="A47" s="9" t="s">
        <v>11</v>
      </c>
      <c r="B47" s="14">
        <v>181</v>
      </c>
      <c r="C47" s="14">
        <v>0</v>
      </c>
      <c r="D47" s="15">
        <v>0</v>
      </c>
      <c r="E47" s="14">
        <v>5</v>
      </c>
      <c r="F47" s="9" t="s">
        <v>431</v>
      </c>
      <c r="G47" s="9" t="s">
        <v>422</v>
      </c>
      <c r="H47" s="9" t="s">
        <v>417</v>
      </c>
    </row>
    <row r="48" spans="1:8" x14ac:dyDescent="0.25">
      <c r="A48" s="9" t="s">
        <v>12</v>
      </c>
      <c r="B48" s="14">
        <v>181</v>
      </c>
      <c r="C48" s="14">
        <v>0</v>
      </c>
      <c r="D48" s="15">
        <v>0</v>
      </c>
      <c r="E48" s="14">
        <v>2</v>
      </c>
      <c r="F48" s="9" t="s">
        <v>432</v>
      </c>
      <c r="G48" s="9" t="s">
        <v>422</v>
      </c>
      <c r="H48" s="9" t="s">
        <v>417</v>
      </c>
    </row>
    <row r="49" spans="1:8" ht="27" x14ac:dyDescent="0.25">
      <c r="A49" s="9" t="s">
        <v>13</v>
      </c>
      <c r="B49" s="14">
        <v>178</v>
      </c>
      <c r="C49" s="14">
        <v>3</v>
      </c>
      <c r="D49" s="15">
        <v>1.6574585635359115E-2</v>
      </c>
      <c r="E49" s="14">
        <v>5</v>
      </c>
      <c r="F49" s="9" t="s">
        <v>433</v>
      </c>
      <c r="G49" s="9" t="s">
        <v>434</v>
      </c>
      <c r="H49" s="9" t="s">
        <v>435</v>
      </c>
    </row>
    <row r="50" spans="1:8" ht="27" x14ac:dyDescent="0.25">
      <c r="A50" s="9" t="s">
        <v>14</v>
      </c>
      <c r="B50" s="14">
        <v>176</v>
      </c>
      <c r="C50" s="14">
        <v>5</v>
      </c>
      <c r="D50" s="15">
        <v>2.7624309392265192E-2</v>
      </c>
      <c r="E50" s="14">
        <v>4</v>
      </c>
      <c r="F50" s="9" t="s">
        <v>433</v>
      </c>
      <c r="G50" s="9" t="s">
        <v>436</v>
      </c>
      <c r="H50" s="9" t="s">
        <v>435</v>
      </c>
    </row>
    <row r="51" spans="1:8" ht="27" x14ac:dyDescent="0.25">
      <c r="A51" s="9" t="s">
        <v>15</v>
      </c>
      <c r="B51" s="14">
        <v>175</v>
      </c>
      <c r="C51" s="14">
        <v>6</v>
      </c>
      <c r="D51" s="15">
        <v>3.3149171270718231E-2</v>
      </c>
      <c r="E51" s="14">
        <v>5</v>
      </c>
      <c r="F51" s="9" t="s">
        <v>433</v>
      </c>
      <c r="G51" s="9" t="s">
        <v>437</v>
      </c>
      <c r="H51" s="9" t="s">
        <v>435</v>
      </c>
    </row>
    <row r="52" spans="1:8" ht="27" x14ac:dyDescent="0.25">
      <c r="A52" s="9" t="s">
        <v>16</v>
      </c>
      <c r="B52" s="14">
        <v>177</v>
      </c>
      <c r="C52" s="14">
        <v>4</v>
      </c>
      <c r="D52" s="15">
        <v>2.2099447513812154E-2</v>
      </c>
      <c r="E52" s="14">
        <v>5</v>
      </c>
      <c r="F52" s="9" t="s">
        <v>433</v>
      </c>
      <c r="G52" s="9" t="s">
        <v>438</v>
      </c>
      <c r="H52" s="9" t="s">
        <v>435</v>
      </c>
    </row>
    <row r="53" spans="1:8" ht="27" x14ac:dyDescent="0.25">
      <c r="A53" s="9" t="s">
        <v>17</v>
      </c>
      <c r="B53" s="14">
        <v>181</v>
      </c>
      <c r="C53" s="14">
        <v>0</v>
      </c>
      <c r="D53" s="15">
        <v>0</v>
      </c>
      <c r="E53" s="14">
        <v>3</v>
      </c>
      <c r="F53" s="9" t="s">
        <v>439</v>
      </c>
      <c r="G53" s="9" t="s">
        <v>422</v>
      </c>
      <c r="H53" s="9" t="s">
        <v>417</v>
      </c>
    </row>
    <row r="54" spans="1:8" x14ac:dyDescent="0.25">
      <c r="A54" s="9" t="s">
        <v>18</v>
      </c>
      <c r="B54" s="14">
        <v>181</v>
      </c>
      <c r="C54" s="14">
        <v>0</v>
      </c>
      <c r="D54" s="15">
        <v>0</v>
      </c>
      <c r="E54" s="14">
        <v>5</v>
      </c>
      <c r="F54" s="9" t="s">
        <v>433</v>
      </c>
      <c r="G54" s="9" t="s">
        <v>440</v>
      </c>
      <c r="H54" s="9" t="s">
        <v>441</v>
      </c>
    </row>
    <row r="55" spans="1:8" x14ac:dyDescent="0.25">
      <c r="A55" s="9" t="s">
        <v>19</v>
      </c>
      <c r="B55" s="14">
        <v>181</v>
      </c>
      <c r="C55" s="14">
        <v>0</v>
      </c>
      <c r="D55" s="15">
        <v>0</v>
      </c>
      <c r="E55" s="14">
        <v>8</v>
      </c>
      <c r="F55" s="9" t="s">
        <v>442</v>
      </c>
      <c r="G55" s="9" t="s">
        <v>440</v>
      </c>
      <c r="H55" s="9" t="s">
        <v>441</v>
      </c>
    </row>
    <row r="56" spans="1:8" x14ac:dyDescent="0.25">
      <c r="A56" s="9" t="s">
        <v>20</v>
      </c>
      <c r="B56" s="14">
        <v>181</v>
      </c>
      <c r="C56" s="14">
        <v>0</v>
      </c>
      <c r="D56" s="15">
        <v>0</v>
      </c>
      <c r="E56" s="14">
        <v>3</v>
      </c>
      <c r="F56" s="9" t="s">
        <v>443</v>
      </c>
      <c r="G56" s="9" t="s">
        <v>422</v>
      </c>
      <c r="H56" s="9" t="s">
        <v>417</v>
      </c>
    </row>
    <row r="57" spans="1:8" x14ac:dyDescent="0.25">
      <c r="A57" s="9" t="s">
        <v>21</v>
      </c>
      <c r="B57" s="14">
        <v>145</v>
      </c>
      <c r="C57" s="14">
        <v>36</v>
      </c>
      <c r="D57" s="15">
        <v>0.19889502762430938</v>
      </c>
      <c r="E57" s="14">
        <v>19</v>
      </c>
      <c r="F57" s="9" t="s">
        <v>444</v>
      </c>
      <c r="G57" s="9" t="s">
        <v>445</v>
      </c>
      <c r="H57" s="9" t="s">
        <v>446</v>
      </c>
    </row>
    <row r="58" spans="1:8" ht="27" x14ac:dyDescent="0.25">
      <c r="A58" s="9" t="s">
        <v>22</v>
      </c>
      <c r="B58" s="14">
        <v>181</v>
      </c>
      <c r="C58" s="14">
        <v>0</v>
      </c>
      <c r="D58" s="15">
        <v>0</v>
      </c>
      <c r="E58" s="14">
        <v>178</v>
      </c>
      <c r="F58" s="9" t="s">
        <v>447</v>
      </c>
      <c r="G58" s="9" t="s">
        <v>448</v>
      </c>
      <c r="H58" s="9" t="s">
        <v>420</v>
      </c>
    </row>
    <row r="59" spans="1:8" ht="27" x14ac:dyDescent="0.25">
      <c r="A59" s="9" t="s">
        <v>23</v>
      </c>
      <c r="B59" s="14">
        <v>181</v>
      </c>
      <c r="C59" s="14">
        <v>0</v>
      </c>
      <c r="D59" s="15">
        <v>0</v>
      </c>
      <c r="E59" s="14">
        <v>1</v>
      </c>
      <c r="F59" s="9" t="s">
        <v>449</v>
      </c>
      <c r="G59" s="9" t="s">
        <v>416</v>
      </c>
      <c r="H59" s="9" t="s">
        <v>417</v>
      </c>
    </row>
    <row r="60" spans="1:8" x14ac:dyDescent="0.25">
      <c r="A60" s="13"/>
      <c r="B60" s="13"/>
      <c r="C60" s="13"/>
      <c r="D60" s="13"/>
      <c r="E60" s="13"/>
      <c r="F60" s="13"/>
      <c r="G60" s="13"/>
      <c r="H60" s="13"/>
    </row>
    <row r="61" spans="1:8" x14ac:dyDescent="0.25">
      <c r="A61" s="13"/>
      <c r="B61" s="13"/>
      <c r="C61" s="13"/>
      <c r="D61" s="13"/>
      <c r="E61" s="13"/>
      <c r="F61" s="13"/>
      <c r="G61" s="13"/>
      <c r="H61" s="13"/>
    </row>
    <row r="62" spans="1:8" x14ac:dyDescent="0.25">
      <c r="A62" s="40" t="s">
        <v>450</v>
      </c>
      <c r="B62" s="40"/>
      <c r="C62" s="40"/>
      <c r="D62" s="40"/>
      <c r="E62" s="40"/>
      <c r="F62" s="40"/>
      <c r="G62" s="40"/>
      <c r="H62" s="40"/>
    </row>
    <row r="63" spans="1:8" x14ac:dyDescent="0.25">
      <c r="A63" s="4" t="s">
        <v>451</v>
      </c>
      <c r="B63" s="4" t="s">
        <v>330</v>
      </c>
      <c r="C63" s="4" t="s">
        <v>452</v>
      </c>
      <c r="D63" s="4" t="s">
        <v>453</v>
      </c>
      <c r="E63" s="4" t="s">
        <v>454</v>
      </c>
      <c r="F63" s="4" t="s">
        <v>455</v>
      </c>
      <c r="G63" s="4" t="s">
        <v>456</v>
      </c>
      <c r="H63" s="4" t="s">
        <v>457</v>
      </c>
    </row>
    <row r="64" spans="1:8" ht="54" x14ac:dyDescent="0.25">
      <c r="A64" s="9">
        <v>1</v>
      </c>
      <c r="B64" s="9" t="s">
        <v>338</v>
      </c>
      <c r="C64" s="9" t="s">
        <v>458</v>
      </c>
      <c r="D64" s="9" t="s">
        <v>459</v>
      </c>
      <c r="E64" s="9" t="s">
        <v>460</v>
      </c>
      <c r="F64" s="9" t="s">
        <v>461</v>
      </c>
      <c r="G64" s="9" t="s">
        <v>462</v>
      </c>
      <c r="H64" s="9" t="s">
        <v>463</v>
      </c>
    </row>
    <row r="65" spans="1:8" ht="40.5" x14ac:dyDescent="0.25">
      <c r="A65" s="9">
        <v>2</v>
      </c>
      <c r="B65" s="9" t="s">
        <v>338</v>
      </c>
      <c r="C65" s="9" t="s">
        <v>464</v>
      </c>
      <c r="D65" s="9" t="s">
        <v>465</v>
      </c>
      <c r="E65" s="9" t="s">
        <v>466</v>
      </c>
      <c r="F65" s="9" t="s">
        <v>467</v>
      </c>
      <c r="G65" s="9" t="s">
        <v>468</v>
      </c>
      <c r="H65" s="9" t="s">
        <v>463</v>
      </c>
    </row>
    <row r="66" spans="1:8" ht="40.5" x14ac:dyDescent="0.25">
      <c r="A66" s="9">
        <v>3</v>
      </c>
      <c r="B66" s="9" t="s">
        <v>350</v>
      </c>
      <c r="C66" s="9" t="s">
        <v>469</v>
      </c>
      <c r="D66" s="9" t="s">
        <v>470</v>
      </c>
      <c r="E66" s="9" t="s">
        <v>471</v>
      </c>
      <c r="F66" s="9" t="s">
        <v>472</v>
      </c>
      <c r="G66" s="9" t="s">
        <v>473</v>
      </c>
      <c r="H66" s="9" t="s">
        <v>463</v>
      </c>
    </row>
    <row r="67" spans="1:8" ht="40.5" x14ac:dyDescent="0.25">
      <c r="A67" s="9">
        <v>4</v>
      </c>
      <c r="B67" s="9" t="s">
        <v>350</v>
      </c>
      <c r="C67" s="9" t="s">
        <v>474</v>
      </c>
      <c r="D67" s="9" t="s">
        <v>475</v>
      </c>
      <c r="E67" s="9" t="s">
        <v>476</v>
      </c>
      <c r="F67" s="9" t="s">
        <v>477</v>
      </c>
      <c r="G67" s="9" t="s">
        <v>478</v>
      </c>
      <c r="H67" s="9" t="s">
        <v>463</v>
      </c>
    </row>
    <row r="68" spans="1:8" ht="40.5" x14ac:dyDescent="0.25">
      <c r="A68" s="9">
        <v>5</v>
      </c>
      <c r="B68" s="9" t="s">
        <v>350</v>
      </c>
      <c r="C68" s="9" t="s">
        <v>479</v>
      </c>
      <c r="D68" s="9" t="s">
        <v>480</v>
      </c>
      <c r="E68" s="9" t="s">
        <v>481</v>
      </c>
      <c r="F68" s="9" t="s">
        <v>467</v>
      </c>
      <c r="G68" s="9" t="s">
        <v>482</v>
      </c>
      <c r="H68" s="9" t="s">
        <v>463</v>
      </c>
    </row>
    <row r="69" spans="1:8" ht="27" x14ac:dyDescent="0.25">
      <c r="A69" s="9">
        <v>6</v>
      </c>
      <c r="B69" s="9" t="s">
        <v>360</v>
      </c>
      <c r="C69" s="9" t="s">
        <v>483</v>
      </c>
      <c r="D69" s="9" t="s">
        <v>484</v>
      </c>
      <c r="E69" s="9" t="s">
        <v>21</v>
      </c>
      <c r="F69" s="9" t="s">
        <v>485</v>
      </c>
      <c r="G69" s="9" t="s">
        <v>486</v>
      </c>
      <c r="H69" s="9" t="s">
        <v>463</v>
      </c>
    </row>
    <row r="70" spans="1:8" ht="40.5" x14ac:dyDescent="0.25">
      <c r="A70" s="9">
        <v>7</v>
      </c>
      <c r="B70" s="9" t="s">
        <v>360</v>
      </c>
      <c r="C70" s="9" t="s">
        <v>487</v>
      </c>
      <c r="D70" s="9" t="s">
        <v>488</v>
      </c>
      <c r="E70" s="9" t="s">
        <v>489</v>
      </c>
      <c r="F70" s="9" t="s">
        <v>477</v>
      </c>
      <c r="G70" s="9" t="s">
        <v>490</v>
      </c>
      <c r="H70" s="9" t="s">
        <v>463</v>
      </c>
    </row>
    <row r="71" spans="1:8" x14ac:dyDescent="0.25">
      <c r="A71" s="13"/>
      <c r="B71" s="13"/>
      <c r="C71" s="13"/>
      <c r="D71" s="13"/>
      <c r="E71" s="13"/>
      <c r="F71" s="13"/>
      <c r="G71" s="13"/>
      <c r="H71" s="13"/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  <row r="73" spans="1:8" x14ac:dyDescent="0.25">
      <c r="A73" s="40" t="s">
        <v>491</v>
      </c>
      <c r="B73" s="40"/>
      <c r="C73" s="40"/>
      <c r="D73" s="40"/>
      <c r="E73" s="40"/>
      <c r="F73" s="40"/>
      <c r="G73" s="40"/>
      <c r="H73" s="40"/>
    </row>
    <row r="74" spans="1:8" x14ac:dyDescent="0.25">
      <c r="A74" s="4" t="s">
        <v>492</v>
      </c>
      <c r="B74" s="4" t="s">
        <v>312</v>
      </c>
      <c r="C74" s="4" t="s">
        <v>493</v>
      </c>
      <c r="D74" s="4" t="s">
        <v>494</v>
      </c>
      <c r="E74" s="4" t="s">
        <v>313</v>
      </c>
      <c r="F74" s="4"/>
      <c r="G74" s="4"/>
      <c r="H74" s="4"/>
    </row>
    <row r="75" spans="1:8" x14ac:dyDescent="0.25">
      <c r="A75" s="9" t="s">
        <v>495</v>
      </c>
      <c r="B75" s="9" t="s">
        <v>496</v>
      </c>
      <c r="C75" s="9">
        <v>181</v>
      </c>
      <c r="D75" s="9" t="s">
        <v>299</v>
      </c>
      <c r="E75" s="9" t="s">
        <v>497</v>
      </c>
      <c r="F75" s="9"/>
      <c r="G75" s="9"/>
      <c r="H75" s="9"/>
    </row>
    <row r="76" spans="1:8" x14ac:dyDescent="0.25">
      <c r="A76" s="9" t="s">
        <v>498</v>
      </c>
      <c r="B76" s="9" t="s">
        <v>496</v>
      </c>
      <c r="C76" s="9">
        <v>0</v>
      </c>
      <c r="D76" s="9" t="s">
        <v>499</v>
      </c>
      <c r="E76" s="9" t="s">
        <v>500</v>
      </c>
      <c r="F76" s="9"/>
      <c r="G76" s="9"/>
      <c r="H76" s="9"/>
    </row>
    <row r="77" spans="1:8" ht="27" x14ac:dyDescent="0.25">
      <c r="A77" s="9" t="s">
        <v>501</v>
      </c>
      <c r="B77" s="9" t="s">
        <v>496</v>
      </c>
      <c r="C77" s="9">
        <v>0</v>
      </c>
      <c r="D77" s="9" t="s">
        <v>499</v>
      </c>
      <c r="E77" s="9" t="s">
        <v>502</v>
      </c>
      <c r="F77" s="9"/>
      <c r="G77" s="9"/>
      <c r="H77" s="9"/>
    </row>
    <row r="78" spans="1:8" ht="27" x14ac:dyDescent="0.25">
      <c r="A78" s="9" t="s">
        <v>503</v>
      </c>
      <c r="B78" s="9" t="s">
        <v>496</v>
      </c>
      <c r="C78" s="9">
        <v>0</v>
      </c>
      <c r="D78" s="9" t="s">
        <v>504</v>
      </c>
      <c r="E78" s="9" t="s">
        <v>505</v>
      </c>
      <c r="F78" s="9"/>
      <c r="G78" s="9"/>
      <c r="H78" s="9"/>
    </row>
    <row r="79" spans="1:8" x14ac:dyDescent="0.25">
      <c r="A79" s="9" t="s">
        <v>506</v>
      </c>
      <c r="B79" s="9" t="s">
        <v>496</v>
      </c>
      <c r="C79" s="9">
        <v>0</v>
      </c>
      <c r="D79" s="9" t="s">
        <v>507</v>
      </c>
      <c r="E79" s="9" t="s">
        <v>508</v>
      </c>
      <c r="F79" s="9"/>
      <c r="G79" s="9"/>
      <c r="H79" s="9"/>
    </row>
    <row r="80" spans="1:8" x14ac:dyDescent="0.25">
      <c r="A80" s="9" t="s">
        <v>509</v>
      </c>
      <c r="B80" s="9" t="s">
        <v>496</v>
      </c>
      <c r="C80" s="9">
        <v>0</v>
      </c>
      <c r="D80" s="9" t="s">
        <v>510</v>
      </c>
      <c r="E80" s="9" t="s">
        <v>511</v>
      </c>
      <c r="F80" s="9"/>
      <c r="G80" s="9"/>
      <c r="H80" s="9"/>
    </row>
    <row r="81" spans="1:8" x14ac:dyDescent="0.25">
      <c r="A81" s="9" t="s">
        <v>512</v>
      </c>
      <c r="B81" s="9" t="s">
        <v>496</v>
      </c>
      <c r="C81" s="9">
        <v>0</v>
      </c>
      <c r="D81" s="9" t="s">
        <v>499</v>
      </c>
      <c r="E81" s="9" t="s">
        <v>513</v>
      </c>
      <c r="F81" s="9"/>
      <c r="G81" s="9"/>
      <c r="H81" s="9"/>
    </row>
    <row r="82" spans="1:8" x14ac:dyDescent="0.25">
      <c r="A82" s="9" t="s">
        <v>514</v>
      </c>
      <c r="B82" s="9" t="s">
        <v>496</v>
      </c>
      <c r="C82" s="9">
        <v>0</v>
      </c>
      <c r="D82" s="9" t="s">
        <v>515</v>
      </c>
      <c r="E82" s="9" t="s">
        <v>516</v>
      </c>
      <c r="F82" s="9"/>
      <c r="G82" s="9"/>
      <c r="H82" s="9"/>
    </row>
    <row r="83" spans="1:8" x14ac:dyDescent="0.25">
      <c r="A83" s="9" t="s">
        <v>449</v>
      </c>
      <c r="B83" s="9" t="s">
        <v>496</v>
      </c>
      <c r="C83" s="9">
        <v>1</v>
      </c>
      <c r="D83" s="9" t="s">
        <v>499</v>
      </c>
      <c r="E83" s="9" t="s">
        <v>517</v>
      </c>
      <c r="F83" s="9"/>
      <c r="G83" s="9"/>
      <c r="H83" s="9"/>
    </row>
    <row r="85" spans="1:8" x14ac:dyDescent="0.25">
      <c r="A85" s="41" t="s">
        <v>518</v>
      </c>
      <c r="B85" s="41"/>
      <c r="C85" s="41"/>
      <c r="D85" s="41"/>
      <c r="E85" s="41"/>
      <c r="F85" s="41"/>
      <c r="G85" s="41"/>
      <c r="H85" s="41"/>
    </row>
    <row r="86" spans="1:8" x14ac:dyDescent="0.25">
      <c r="A86" s="16" t="s">
        <v>519</v>
      </c>
      <c r="B86" s="16" t="s">
        <v>333</v>
      </c>
      <c r="C86" s="16" t="s">
        <v>334</v>
      </c>
      <c r="D86" s="16" t="s">
        <v>335</v>
      </c>
      <c r="E86" s="16" t="s">
        <v>408</v>
      </c>
      <c r="F86" s="16" t="s">
        <v>457</v>
      </c>
      <c r="G86" s="16"/>
      <c r="H86" s="16"/>
    </row>
    <row r="87" spans="1:8" ht="30" x14ac:dyDescent="0.25">
      <c r="A87" s="17" t="s">
        <v>520</v>
      </c>
      <c r="B87" s="17" t="s">
        <v>521</v>
      </c>
      <c r="C87" s="17">
        <v>39</v>
      </c>
      <c r="D87" s="17" t="s">
        <v>522</v>
      </c>
      <c r="E87" s="17" t="s">
        <v>523</v>
      </c>
      <c r="F87" s="17" t="s">
        <v>463</v>
      </c>
      <c r="G87" s="17"/>
      <c r="H87" s="17"/>
    </row>
    <row r="88" spans="1:8" ht="30" x14ac:dyDescent="0.25">
      <c r="A88" s="17" t="s">
        <v>524</v>
      </c>
      <c r="B88" s="17" t="s">
        <v>525</v>
      </c>
      <c r="C88" s="17">
        <v>0</v>
      </c>
      <c r="D88" s="17" t="s">
        <v>526</v>
      </c>
      <c r="E88" s="17" t="s">
        <v>527</v>
      </c>
      <c r="F88" s="17" t="s">
        <v>371</v>
      </c>
      <c r="G88" s="17"/>
      <c r="H88" s="17"/>
    </row>
    <row r="89" spans="1:8" ht="30" x14ac:dyDescent="0.25">
      <c r="A89" s="17" t="s">
        <v>528</v>
      </c>
      <c r="B89" s="17" t="s">
        <v>529</v>
      </c>
      <c r="C89" s="17">
        <v>0</v>
      </c>
      <c r="D89" s="17" t="s">
        <v>530</v>
      </c>
      <c r="E89" s="17" t="s">
        <v>531</v>
      </c>
      <c r="F89" s="17" t="s">
        <v>371</v>
      </c>
      <c r="G89" s="17"/>
      <c r="H89" s="17"/>
    </row>
    <row r="90" spans="1:8" ht="30" x14ac:dyDescent="0.25">
      <c r="A90" s="17" t="s">
        <v>532</v>
      </c>
      <c r="B90" s="17" t="s">
        <v>533</v>
      </c>
      <c r="C90" s="17">
        <v>0</v>
      </c>
      <c r="D90" s="17" t="s">
        <v>534</v>
      </c>
      <c r="E90" s="17" t="s">
        <v>535</v>
      </c>
      <c r="F90" s="17" t="s">
        <v>371</v>
      </c>
      <c r="G90" s="17"/>
      <c r="H90" s="17"/>
    </row>
    <row r="91" spans="1:8" ht="45" x14ac:dyDescent="0.25">
      <c r="A91" s="17" t="s">
        <v>536</v>
      </c>
      <c r="B91" s="17" t="s">
        <v>537</v>
      </c>
      <c r="C91" s="17">
        <v>6</v>
      </c>
      <c r="D91" s="17" t="s">
        <v>538</v>
      </c>
      <c r="E91" s="17" t="s">
        <v>539</v>
      </c>
      <c r="F91" s="17" t="s">
        <v>540</v>
      </c>
      <c r="G91" s="17"/>
      <c r="H91" s="17"/>
    </row>
  </sheetData>
  <mergeCells count="10">
    <mergeCell ref="A34:H34"/>
    <mergeCell ref="A62:H62"/>
    <mergeCell ref="A73:H73"/>
    <mergeCell ref="A85:H85"/>
    <mergeCell ref="A1:H1"/>
    <mergeCell ref="A2:H2"/>
    <mergeCell ref="A4:H4"/>
    <mergeCell ref="A9:H9"/>
    <mergeCell ref="A15:H15"/>
    <mergeCell ref="A27:H27"/>
  </mergeCells>
  <pageMargins left="0.7" right="0.7" top="0.75" bottom="0.75" header="0.3" footer="0.3"/>
  <headerFooter>
    <oddFooter>&amp;L_x000D_&amp;1#&amp;"Aptos"&amp;10&amp;K000000 Classified as Microsoft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4057-98BB-4797-B8F0-64014C0C07CB}">
  <dimension ref="A1:S60"/>
  <sheetViews>
    <sheetView workbookViewId="0">
      <selection activeCell="W16" sqref="W16"/>
    </sheetView>
  </sheetViews>
  <sheetFormatPr defaultRowHeight="15" x14ac:dyDescent="0.25"/>
  <cols>
    <col min="1" max="4" width="8.5703125" customWidth="1"/>
    <col min="5" max="5" width="1.85546875" customWidth="1"/>
    <col min="6" max="9" width="8.5703125" customWidth="1"/>
    <col min="10" max="10" width="1.85546875" customWidth="1"/>
    <col min="11" max="14" width="8.5703125" customWidth="1"/>
    <col min="15" max="15" width="1.85546875" customWidth="1"/>
    <col min="16" max="19" width="8.5703125" customWidth="1"/>
  </cols>
  <sheetData>
    <row r="1" spans="1:19" ht="27.95" customHeight="1" x14ac:dyDescent="0.25">
      <c r="A1" s="33" t="s">
        <v>543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27.9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21.95" customHeight="1" x14ac:dyDescent="0.25">
      <c r="A3" s="34" t="s">
        <v>544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spans="1:19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 ht="21.95" customHeight="1" x14ac:dyDescent="0.25">
      <c r="A5" s="35" t="s">
        <v>541</v>
      </c>
      <c r="B5" s="35"/>
      <c r="C5" s="35"/>
      <c r="D5" s="35"/>
      <c r="E5" s="19"/>
      <c r="F5" s="37" t="s">
        <v>545</v>
      </c>
      <c r="G5" s="37"/>
      <c r="H5" s="37"/>
      <c r="I5" s="37"/>
      <c r="J5" s="19"/>
      <c r="K5" s="38" t="s">
        <v>546</v>
      </c>
      <c r="L5" s="38"/>
      <c r="M5" s="38"/>
      <c r="N5" s="38"/>
      <c r="O5" s="19"/>
      <c r="P5" s="39" t="s">
        <v>547</v>
      </c>
      <c r="Q5" s="39"/>
      <c r="R5" s="39"/>
      <c r="S5" s="39"/>
    </row>
    <row r="6" spans="1:19" ht="21.95" customHeight="1" x14ac:dyDescent="0.25">
      <c r="A6" s="36">
        <f>ROWS(TrainingResponses[ResponseID])</f>
        <v>181</v>
      </c>
      <c r="B6" s="27"/>
      <c r="C6" s="27"/>
      <c r="D6" s="27"/>
      <c r="E6" s="19"/>
      <c r="F6" s="30">
        <f>AVERAGE(TrainingResponses[OverallSatisfaction_1to5])</f>
        <v>3.8820224719101124</v>
      </c>
      <c r="G6" s="27"/>
      <c r="H6" s="27"/>
      <c r="I6" s="27"/>
      <c r="J6" s="19"/>
      <c r="K6" s="30">
        <f>AVERAGE(TrainingResponses[ContentRelevance_1to5])</f>
        <v>3.9715909090909092</v>
      </c>
      <c r="L6" s="27"/>
      <c r="M6" s="27"/>
      <c r="N6" s="27"/>
      <c r="O6" s="19"/>
      <c r="P6" s="30">
        <f>AVERAGE(TrainingResponses[TrainerKnowledge_1to5])</f>
        <v>3.88</v>
      </c>
      <c r="Q6" s="27"/>
      <c r="R6" s="27"/>
      <c r="S6" s="27"/>
    </row>
    <row r="7" spans="1:19" ht="21.95" customHeight="1" x14ac:dyDescent="0.25">
      <c r="A7" s="27"/>
      <c r="B7" s="27"/>
      <c r="C7" s="27"/>
      <c r="D7" s="27"/>
      <c r="E7" s="19"/>
      <c r="F7" s="27"/>
      <c r="G7" s="27"/>
      <c r="H7" s="27"/>
      <c r="I7" s="27"/>
      <c r="J7" s="19"/>
      <c r="K7" s="27"/>
      <c r="L7" s="27"/>
      <c r="M7" s="27"/>
      <c r="N7" s="27"/>
      <c r="O7" s="19"/>
      <c r="P7" s="27"/>
      <c r="Q7" s="27"/>
      <c r="R7" s="27"/>
      <c r="S7" s="27"/>
    </row>
    <row r="8" spans="1:19" ht="21.95" customHeight="1" x14ac:dyDescent="0.25">
      <c r="A8" s="27"/>
      <c r="B8" s="27"/>
      <c r="C8" s="27"/>
      <c r="D8" s="27"/>
      <c r="E8" s="19"/>
      <c r="F8" s="27"/>
      <c r="G8" s="27"/>
      <c r="H8" s="27"/>
      <c r="I8" s="27"/>
      <c r="J8" s="19"/>
      <c r="K8" s="27"/>
      <c r="L8" s="27"/>
      <c r="M8" s="27"/>
      <c r="N8" s="27"/>
      <c r="O8" s="19"/>
      <c r="P8" s="27"/>
      <c r="Q8" s="27"/>
      <c r="R8" s="27"/>
      <c r="S8" s="27"/>
    </row>
    <row r="9" spans="1:19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 ht="21.95" customHeight="1" x14ac:dyDescent="0.25">
      <c r="A10" s="29" t="s">
        <v>548</v>
      </c>
      <c r="B10" s="29"/>
      <c r="C10" s="29"/>
      <c r="D10" s="29"/>
      <c r="E10" s="19"/>
      <c r="F10" s="31" t="s">
        <v>542</v>
      </c>
      <c r="G10" s="31"/>
      <c r="H10" s="31"/>
      <c r="I10" s="31"/>
      <c r="J10" s="19"/>
      <c r="K10" s="32" t="s">
        <v>549</v>
      </c>
      <c r="L10" s="32"/>
      <c r="M10" s="32"/>
      <c r="N10" s="32"/>
      <c r="O10" s="19"/>
      <c r="P10" s="25" t="s">
        <v>550</v>
      </c>
      <c r="Q10" s="25"/>
      <c r="R10" s="25"/>
      <c r="S10" s="25"/>
    </row>
    <row r="11" spans="1:19" ht="21.95" customHeight="1" x14ac:dyDescent="0.25">
      <c r="A11" s="30">
        <f>AVERAGE(TrainingResponses[LikelyToUseCopilot_1to5])</f>
        <v>4.1160220994475134</v>
      </c>
      <c r="B11" s="27"/>
      <c r="C11" s="27"/>
      <c r="D11" s="27"/>
      <c r="E11" s="19"/>
      <c r="F11" s="26">
        <f>(COUNTIF(TrainingResponses[NPS_0to10],"&gt;=9")-COUNTIF(TrainingResponses[NPS_0to10],"&lt;=6"))/COUNT(TrainingResponses[NPS_0to10])</f>
        <v>4.4198895027624308E-2</v>
      </c>
      <c r="G11" s="27"/>
      <c r="H11" s="27"/>
      <c r="I11" s="27"/>
      <c r="J11" s="19"/>
      <c r="K11" s="26">
        <f>COUNTIF(TrainingResponses[Pace],"Just right")/COUNTA(TrainingResponses[Pace])</f>
        <v>0.66850828729281764</v>
      </c>
      <c r="L11" s="27"/>
      <c r="M11" s="27"/>
      <c r="N11" s="27"/>
      <c r="O11" s="19"/>
      <c r="P11" s="26">
        <f>COUNTIF(TrainingResponses[WouldJoinNextSession],"Yes")/COUNTA(TrainingResponses[WouldJoinNextSession])</f>
        <v>0.62430939226519333</v>
      </c>
      <c r="Q11" s="27"/>
      <c r="R11" s="27"/>
      <c r="S11" s="27"/>
    </row>
    <row r="12" spans="1:19" ht="21.95" customHeight="1" x14ac:dyDescent="0.25">
      <c r="A12" s="27"/>
      <c r="B12" s="27"/>
      <c r="C12" s="27"/>
      <c r="D12" s="27"/>
      <c r="E12" s="19"/>
      <c r="F12" s="27"/>
      <c r="G12" s="27"/>
      <c r="H12" s="27"/>
      <c r="I12" s="27"/>
      <c r="J12" s="19"/>
      <c r="K12" s="27"/>
      <c r="L12" s="27"/>
      <c r="M12" s="27"/>
      <c r="N12" s="27"/>
      <c r="O12" s="19"/>
      <c r="P12" s="27"/>
      <c r="Q12" s="27"/>
      <c r="R12" s="27"/>
      <c r="S12" s="27"/>
    </row>
    <row r="13" spans="1:19" ht="21.95" customHeight="1" x14ac:dyDescent="0.25">
      <c r="A13" s="27"/>
      <c r="B13" s="27"/>
      <c r="C13" s="27"/>
      <c r="D13" s="27"/>
      <c r="E13" s="19"/>
      <c r="F13" s="27"/>
      <c r="G13" s="27"/>
      <c r="H13" s="27"/>
      <c r="I13" s="27"/>
      <c r="J13" s="19"/>
      <c r="K13" s="27"/>
      <c r="L13" s="27"/>
      <c r="M13" s="27"/>
      <c r="N13" s="27"/>
      <c r="O13" s="19"/>
      <c r="P13" s="27"/>
      <c r="Q13" s="27"/>
      <c r="R13" s="27"/>
      <c r="S13" s="27"/>
    </row>
    <row r="14" spans="1:19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21.95" customHeight="1" x14ac:dyDescent="0.25">
      <c r="A15" s="28" t="s">
        <v>551</v>
      </c>
      <c r="B15" s="28"/>
      <c r="C15" s="28"/>
      <c r="D15" s="28"/>
      <c r="E15" s="28"/>
      <c r="F15" s="28"/>
      <c r="G15" s="28"/>
      <c r="H15" s="28"/>
      <c r="I15" s="28"/>
      <c r="J15" s="19"/>
      <c r="K15" s="28" t="s">
        <v>552</v>
      </c>
      <c r="L15" s="28"/>
      <c r="M15" s="28"/>
      <c r="N15" s="28"/>
      <c r="O15" s="28"/>
      <c r="P15" s="28"/>
      <c r="Q15" s="28"/>
      <c r="R15" s="28"/>
      <c r="S15" s="28"/>
    </row>
    <row r="16" spans="1:19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1:19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19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ht="21.95" customHeight="1" x14ac:dyDescent="0.25">
      <c r="A32" s="28" t="s">
        <v>553</v>
      </c>
      <c r="B32" s="28"/>
      <c r="C32" s="28"/>
      <c r="D32" s="28"/>
      <c r="E32" s="28"/>
      <c r="F32" s="28"/>
      <c r="G32" s="28"/>
      <c r="H32" s="28"/>
      <c r="I32" s="28"/>
      <c r="J32" s="19"/>
      <c r="K32" s="28" t="s">
        <v>554</v>
      </c>
      <c r="L32" s="28"/>
      <c r="M32" s="28"/>
      <c r="N32" s="28"/>
      <c r="O32" s="28"/>
      <c r="P32" s="28"/>
      <c r="Q32" s="28"/>
      <c r="R32" s="28"/>
      <c r="S32" s="28"/>
    </row>
    <row r="33" spans="1:19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19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19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19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spans="1:19" ht="21.95" customHeight="1" x14ac:dyDescent="0.25">
      <c r="A50" s="21" t="s">
        <v>560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9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1:19" ht="20.100000000000001" customHeight="1" x14ac:dyDescent="0.25">
      <c r="A52" s="22" t="s">
        <v>561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1:19" ht="20.100000000000001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1:19" ht="20.100000000000001" customHeight="1" x14ac:dyDescent="0.25">
      <c r="A54" s="23" t="s">
        <v>562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spans="1:19" ht="20.100000000000001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1:19" ht="20.100000000000001" customHeight="1" x14ac:dyDescent="0.25">
      <c r="A56" s="22" t="s">
        <v>563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1:19" ht="20.100000000000001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1:19" ht="20.100000000000001" customHeight="1" x14ac:dyDescent="0.25">
      <c r="A58" s="23" t="s">
        <v>564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spans="1:19" ht="20.100000000000001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spans="1:19" ht="24" customHeight="1" x14ac:dyDescent="0.25">
      <c r="A60" s="24" t="s">
        <v>565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</sheetData>
  <mergeCells count="28">
    <mergeCell ref="A1:S2"/>
    <mergeCell ref="A3:S3"/>
    <mergeCell ref="A5:D5"/>
    <mergeCell ref="A6:D8"/>
    <mergeCell ref="F5:I5"/>
    <mergeCell ref="F6:I8"/>
    <mergeCell ref="K5:N5"/>
    <mergeCell ref="K6:N8"/>
    <mergeCell ref="P5:S5"/>
    <mergeCell ref="P6:S8"/>
    <mergeCell ref="A60:S60"/>
    <mergeCell ref="P10:S10"/>
    <mergeCell ref="P11:S13"/>
    <mergeCell ref="A15:I15"/>
    <mergeCell ref="K15:S15"/>
    <mergeCell ref="A32:I32"/>
    <mergeCell ref="K32:S32"/>
    <mergeCell ref="A10:D10"/>
    <mergeCell ref="A11:D13"/>
    <mergeCell ref="F10:I10"/>
    <mergeCell ref="F11:I13"/>
    <mergeCell ref="K10:N10"/>
    <mergeCell ref="K11:N13"/>
    <mergeCell ref="A50:S50"/>
    <mergeCell ref="A52:S53"/>
    <mergeCell ref="A54:S55"/>
    <mergeCell ref="A56:S57"/>
    <mergeCell ref="A58:S5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DDF8-E348-4B0C-A79D-DDA3C5566509}">
  <dimension ref="A1:D36"/>
  <sheetViews>
    <sheetView workbookViewId="0"/>
  </sheetViews>
  <sheetFormatPr defaultRowHeight="15" x14ac:dyDescent="0.25"/>
  <sheetData>
    <row r="1" spans="1:4" x14ac:dyDescent="0.25">
      <c r="A1" t="s">
        <v>4</v>
      </c>
      <c r="B1" t="s">
        <v>555</v>
      </c>
      <c r="C1" t="s">
        <v>556</v>
      </c>
      <c r="D1" t="s">
        <v>557</v>
      </c>
    </row>
    <row r="2" spans="1:4" x14ac:dyDescent="0.25">
      <c r="A2" t="s">
        <v>77</v>
      </c>
      <c r="B2" s="20">
        <f>AVERAGEIF(TrainingResponses[Region],A2,TrainingResponses[OverallSatisfaction_1to5])</f>
        <v>3.9152542372881354</v>
      </c>
      <c r="C2" s="20">
        <f>AVERAGEIF(TrainingResponses[Region],A2,TrainingResponses[LikelyToUseCopilot_1to5])</f>
        <v>4.0333333333333332</v>
      </c>
      <c r="D2">
        <f>COUNTIF(TrainingResponses[Region],A2)</f>
        <v>60</v>
      </c>
    </row>
    <row r="3" spans="1:4" x14ac:dyDescent="0.25">
      <c r="A3" t="s">
        <v>102</v>
      </c>
      <c r="B3" s="20">
        <f>AVERAGEIF(TrainingResponses[Region],A3,TrainingResponses[OverallSatisfaction_1to5])</f>
        <v>3.8571428571428572</v>
      </c>
      <c r="C3" s="20">
        <f>AVERAGEIF(TrainingResponses[Region],A3,TrainingResponses[LikelyToUseCopilot_1to5])</f>
        <v>4.333333333333333</v>
      </c>
      <c r="D3">
        <f>COUNTIF(TrainingResponses[Region],A3)</f>
        <v>57</v>
      </c>
    </row>
    <row r="4" spans="1:4" x14ac:dyDescent="0.25">
      <c r="A4" t="s">
        <v>27</v>
      </c>
      <c r="B4" s="20">
        <f>AVERAGEIF(TrainingResponses[Region],A4,TrainingResponses[OverallSatisfaction_1to5])</f>
        <v>3.873015873015873</v>
      </c>
      <c r="C4" s="20">
        <f>AVERAGEIF(TrainingResponses[Region],A4,TrainingResponses[LikelyToUseCopilot_1to5])</f>
        <v>4</v>
      </c>
      <c r="D4">
        <f>COUNTIF(TrainingResponses[Region],A4)</f>
        <v>64</v>
      </c>
    </row>
    <row r="8" spans="1:4" x14ac:dyDescent="0.25">
      <c r="A8" t="s">
        <v>17</v>
      </c>
      <c r="B8" t="s">
        <v>557</v>
      </c>
    </row>
    <row r="9" spans="1:4" x14ac:dyDescent="0.25">
      <c r="A9" t="s">
        <v>51</v>
      </c>
      <c r="B9">
        <f>COUNTIF(TrainingResponses[Pace],A9)</f>
        <v>121</v>
      </c>
    </row>
    <row r="10" spans="1:4" x14ac:dyDescent="0.25">
      <c r="A10" t="s">
        <v>36</v>
      </c>
      <c r="B10">
        <f>COUNTIF(TrainingResponses[Pace],A10)</f>
        <v>34</v>
      </c>
    </row>
    <row r="11" spans="1:4" x14ac:dyDescent="0.25">
      <c r="A11" t="s">
        <v>46</v>
      </c>
      <c r="B11">
        <f>COUNTIF(TrainingResponses[Pace],A11)</f>
        <v>26</v>
      </c>
    </row>
    <row r="15" spans="1:4" x14ac:dyDescent="0.25">
      <c r="A15" t="s">
        <v>558</v>
      </c>
      <c r="B15" t="s">
        <v>555</v>
      </c>
    </row>
    <row r="16" spans="1:4" x14ac:dyDescent="0.25">
      <c r="A16" t="s">
        <v>172</v>
      </c>
      <c r="B16" s="20">
        <f>AVERAGEIF(TrainingResponses[SessionTitle],A16,TrainingResponses[OverallSatisfaction_1to5])</f>
        <v>4.1212121212121211</v>
      </c>
    </row>
    <row r="17" spans="1:3" x14ac:dyDescent="0.25">
      <c r="A17" t="s">
        <v>255</v>
      </c>
      <c r="B17" s="20">
        <f>AVERAGEIF(TrainingResponses[SessionTitle],A17,TrainingResponses[OverallSatisfaction_1to5])</f>
        <v>4</v>
      </c>
    </row>
    <row r="18" spans="1:3" x14ac:dyDescent="0.25">
      <c r="A18" t="s">
        <v>212</v>
      </c>
      <c r="B18" s="20">
        <f>AVERAGEIF(TrainingResponses[SessionTitle],A18,TrainingResponses[OverallSatisfaction_1to5])</f>
        <v>3.8461538461538463</v>
      </c>
    </row>
    <row r="19" spans="1:3" x14ac:dyDescent="0.25">
      <c r="A19" t="s">
        <v>26</v>
      </c>
      <c r="B19" s="20">
        <f>AVERAGEIF(TrainingResponses[SessionTitle],A19,TrainingResponses[OverallSatisfaction_1to5])</f>
        <v>3.8285714285714287</v>
      </c>
    </row>
    <row r="20" spans="1:3" x14ac:dyDescent="0.25">
      <c r="A20" t="s">
        <v>124</v>
      </c>
      <c r="B20" s="20">
        <f>AVERAGEIF(TrainingResponses[SessionTitle],A20,TrainingResponses[OverallSatisfaction_1to5])</f>
        <v>3.6285714285714286</v>
      </c>
    </row>
    <row r="24" spans="1:3" x14ac:dyDescent="0.25">
      <c r="A24" t="s">
        <v>559</v>
      </c>
      <c r="B24" t="s">
        <v>555</v>
      </c>
      <c r="C24" t="s">
        <v>557</v>
      </c>
    </row>
    <row r="25" spans="1:3" x14ac:dyDescent="0.25">
      <c r="A25" s="1">
        <v>46300</v>
      </c>
      <c r="B25" s="20">
        <f>AVERAGEIF(TrainingResponses[SessionDate],A25,TrainingResponses[OverallSatisfaction_1to5])</f>
        <v>3.5454545454545454</v>
      </c>
      <c r="C25">
        <f>COUNTIF(TrainingResponses[SessionDate],A25)</f>
        <v>11</v>
      </c>
    </row>
    <row r="26" spans="1:3" x14ac:dyDescent="0.25">
      <c r="A26" s="1">
        <v>46301</v>
      </c>
      <c r="B26" s="20">
        <f>AVERAGEIF(TrainingResponses[SessionDate],A26,TrainingResponses[OverallSatisfaction_1to5])</f>
        <v>4.25</v>
      </c>
      <c r="C26">
        <f>COUNTIF(TrainingResponses[SessionDate],A26)</f>
        <v>12</v>
      </c>
    </row>
    <row r="27" spans="1:3" x14ac:dyDescent="0.25">
      <c r="A27" s="1">
        <v>46302</v>
      </c>
      <c r="B27" s="20">
        <f>AVERAGEIF(TrainingResponses[SessionDate],A27,TrainingResponses[OverallSatisfaction_1to5])</f>
        <v>3.6666666666666665</v>
      </c>
      <c r="C27">
        <f>COUNTIF(TrainingResponses[SessionDate],A27)</f>
        <v>12</v>
      </c>
    </row>
    <row r="28" spans="1:3" x14ac:dyDescent="0.25">
      <c r="A28" s="1">
        <v>46304</v>
      </c>
      <c r="B28" s="20">
        <f>AVERAGEIF(TrainingResponses[SessionDate],A28,TrainingResponses[OverallSatisfaction_1to5])</f>
        <v>3.6</v>
      </c>
      <c r="C28">
        <f>COUNTIF(TrainingResponses[SessionDate],A28)</f>
        <v>15</v>
      </c>
    </row>
    <row r="29" spans="1:3" x14ac:dyDescent="0.25">
      <c r="A29" s="1">
        <v>46307</v>
      </c>
      <c r="B29" s="20">
        <f>AVERAGEIF(TrainingResponses[SessionDate],A29,TrainingResponses[OverallSatisfaction_1to5])</f>
        <v>3.65</v>
      </c>
      <c r="C29">
        <f>COUNTIF(TrainingResponses[SessionDate],A29)</f>
        <v>20</v>
      </c>
    </row>
    <row r="30" spans="1:3" x14ac:dyDescent="0.25">
      <c r="A30" s="1">
        <v>46308</v>
      </c>
      <c r="B30" s="20">
        <f>AVERAGEIF(TrainingResponses[SessionDate],A30,TrainingResponses[OverallSatisfaction_1to5])</f>
        <v>4.384615384615385</v>
      </c>
      <c r="C30">
        <f>COUNTIF(TrainingResponses[SessionDate],A30)</f>
        <v>13</v>
      </c>
    </row>
    <row r="31" spans="1:3" x14ac:dyDescent="0.25">
      <c r="A31" s="1">
        <v>46309</v>
      </c>
      <c r="B31" s="20">
        <f>AVERAGEIF(TrainingResponses[SessionDate],A31,TrainingResponses[OverallSatisfaction_1to5])</f>
        <v>3.6363636363636362</v>
      </c>
      <c r="C31">
        <f>COUNTIF(TrainingResponses[SessionDate],A31)</f>
        <v>12</v>
      </c>
    </row>
    <row r="32" spans="1:3" x14ac:dyDescent="0.25">
      <c r="A32" s="1">
        <v>46310</v>
      </c>
      <c r="B32" s="20">
        <f>AVERAGEIF(TrainingResponses[SessionDate],A32,TrainingResponses[OverallSatisfaction_1to5])</f>
        <v>4.333333333333333</v>
      </c>
      <c r="C32">
        <f>COUNTIF(TrainingResponses[SessionDate],A32)</f>
        <v>9</v>
      </c>
    </row>
    <row r="33" spans="1:3" x14ac:dyDescent="0.25">
      <c r="A33" s="1">
        <v>46314</v>
      </c>
      <c r="B33" s="20">
        <f>AVERAGEIF(TrainingResponses[SessionDate],A33,TrainingResponses[OverallSatisfaction_1to5])</f>
        <v>3.8461538461538463</v>
      </c>
      <c r="C33">
        <f>COUNTIF(TrainingResponses[SessionDate],A33)</f>
        <v>39</v>
      </c>
    </row>
    <row r="34" spans="1:3" x14ac:dyDescent="0.25">
      <c r="A34" s="1">
        <v>46316</v>
      </c>
      <c r="B34" s="20">
        <f>AVERAGEIF(TrainingResponses[SessionDate],A34,TrainingResponses[OverallSatisfaction_1to5])</f>
        <v>4.0999999999999996</v>
      </c>
      <c r="C34">
        <f>COUNTIF(TrainingResponses[SessionDate],A34)</f>
        <v>11</v>
      </c>
    </row>
    <row r="35" spans="1:3" x14ac:dyDescent="0.25">
      <c r="A35" s="1">
        <v>46317</v>
      </c>
      <c r="B35" s="20">
        <f>AVERAGEIF(TrainingResponses[SessionDate],A35,TrainingResponses[OverallSatisfaction_1to5])</f>
        <v>3.8571428571428572</v>
      </c>
      <c r="C35">
        <f>COUNTIF(TrainingResponses[SessionDate],A35)</f>
        <v>14</v>
      </c>
    </row>
    <row r="36" spans="1:3" x14ac:dyDescent="0.25">
      <c r="A36" s="1">
        <v>46318</v>
      </c>
      <c r="B36" s="20">
        <f>AVERAGEIF(TrainingResponses[SessionDate],A36,TrainingResponses[OverallSatisfaction_1to5])</f>
        <v>4.083333333333333</v>
      </c>
      <c r="C36">
        <f>COUNTIF(TrainingResponses[SessionDate],A36)</f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LEGO_Copilot_Training_Evaluatio</vt:lpstr>
      <vt:lpstr>LEGO_Copilot_Training_Formatted</vt:lpstr>
      <vt:lpstr>Data Quality Report</vt:lpstr>
      <vt:lpstr>Training Dashboard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Cederhierta</dc:creator>
  <cp:lastModifiedBy>Ning Wei</cp:lastModifiedBy>
  <dcterms:created xsi:type="dcterms:W3CDTF">2026-10-16T17:05:54Z</dcterms:created>
  <dcterms:modified xsi:type="dcterms:W3CDTF">2026-10-17T04:36:19Z</dcterms:modified>
</cp:coreProperties>
</file>